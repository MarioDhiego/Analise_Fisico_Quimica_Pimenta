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_Acidez" sheetId="1" r:id="rId5"/>
    <sheet state="visible" name="Banco_Umidade" sheetId="2" r:id="rId6"/>
    <sheet state="visible" name="Banco_Cinzas" sheetId="3" r:id="rId7"/>
  </sheets>
  <definedNames/>
  <calcPr/>
</workbook>
</file>

<file path=xl/sharedStrings.xml><?xml version="1.0" encoding="utf-8"?>
<sst xmlns="http://schemas.openxmlformats.org/spreadsheetml/2006/main" count="673" uniqueCount="152">
  <si>
    <t>Análises</t>
  </si>
  <si>
    <t>Amostra</t>
  </si>
  <si>
    <t>Pimenta</t>
  </si>
  <si>
    <t>Meses</t>
  </si>
  <si>
    <t>Peso aferido (g)</t>
  </si>
  <si>
    <t>Volume gasto (mL)</t>
  </si>
  <si>
    <t>% acidez</t>
  </si>
  <si>
    <t>Peso de cadinho (antes)</t>
  </si>
  <si>
    <t>Peso da amostra</t>
  </si>
  <si>
    <t>Peso final</t>
  </si>
  <si>
    <t>Peso de cadinho (depois)</t>
  </si>
  <si>
    <t>% umidade</t>
  </si>
  <si>
    <t>Umidade</t>
  </si>
  <si>
    <t>Acidez</t>
  </si>
  <si>
    <t>T3-A1</t>
  </si>
  <si>
    <t>A1</t>
  </si>
  <si>
    <t>In Natura</t>
  </si>
  <si>
    <t>Fevereiro</t>
  </si>
  <si>
    <t>% Cinzas</t>
  </si>
  <si>
    <t>Cinzas</t>
  </si>
  <si>
    <t>A2</t>
  </si>
  <si>
    <r>
      <rPr>
        <rFont val="Times New Roman"/>
        <color theme="1"/>
        <sz val="12.0"/>
      </rPr>
      <t xml:space="preserve">T3-A1 </t>
    </r>
    <r>
      <rPr>
        <rFont val="Times New Roman"/>
        <color rgb="FFFF0000"/>
        <sz val="12.0"/>
      </rPr>
      <t>(LA47)</t>
    </r>
  </si>
  <si>
    <t>P1-A2</t>
  </si>
  <si>
    <t>A3</t>
  </si>
  <si>
    <t>B1</t>
  </si>
  <si>
    <t>Solução Filmogenica</t>
  </si>
  <si>
    <t>LA42-A3</t>
  </si>
  <si>
    <t>B1-B1</t>
  </si>
  <si>
    <t>B2</t>
  </si>
  <si>
    <t>LA15-B2</t>
  </si>
  <si>
    <t>B3</t>
  </si>
  <si>
    <t>N1-B3</t>
  </si>
  <si>
    <t>D1</t>
  </si>
  <si>
    <t>E2-D1</t>
  </si>
  <si>
    <t>Solução Filmogenica+Oleo de Canela</t>
  </si>
  <si>
    <t>81-D2</t>
  </si>
  <si>
    <t>D2</t>
  </si>
  <si>
    <t>R2-D3</t>
  </si>
  <si>
    <r>
      <rPr>
        <rFont val="Times New Roman"/>
        <color theme="1"/>
        <sz val="12.0"/>
      </rPr>
      <t xml:space="preserve">P1-A2 </t>
    </r>
    <r>
      <rPr>
        <rFont val="Times New Roman"/>
        <color rgb="FFFF0000"/>
        <sz val="12.0"/>
      </rPr>
      <t>(LA32)</t>
    </r>
  </si>
  <si>
    <t>N4-E1</t>
  </si>
  <si>
    <t>Solução Filmogenica+Oleo de Cipo de Alho</t>
  </si>
  <si>
    <t>D3</t>
  </si>
  <si>
    <t>E3-E2</t>
  </si>
  <si>
    <t>E1</t>
  </si>
  <si>
    <t>LA6-E3</t>
  </si>
  <si>
    <r>
      <rPr>
        <rFont val="Times New Roman"/>
        <color theme="1"/>
        <sz val="12.0"/>
      </rPr>
      <t xml:space="preserve">LA42-A3 </t>
    </r>
    <r>
      <rPr>
        <rFont val="Times New Roman"/>
        <color rgb="FFFF0000"/>
        <sz val="12.0"/>
      </rPr>
      <t>(E4)</t>
    </r>
  </si>
  <si>
    <t>E2</t>
  </si>
  <si>
    <t>E3</t>
  </si>
  <si>
    <r>
      <rPr>
        <rFont val="Times New Roman"/>
        <color theme="1"/>
        <sz val="12.0"/>
      </rPr>
      <t xml:space="preserve">B1-B1 </t>
    </r>
    <r>
      <rPr>
        <rFont val="Times New Roman"/>
        <color rgb="FFFF0000"/>
        <sz val="12.0"/>
      </rPr>
      <t>(E2)</t>
    </r>
  </si>
  <si>
    <t>E2-A1</t>
  </si>
  <si>
    <t>Março</t>
  </si>
  <si>
    <t>TA3-A3</t>
  </si>
  <si>
    <t>Marco</t>
  </si>
  <si>
    <t>Abril</t>
  </si>
  <si>
    <t>LA13-B1</t>
  </si>
  <si>
    <r>
      <rPr>
        <rFont val="Times New Roman"/>
        <color theme="1"/>
        <sz val="12.0"/>
      </rPr>
      <t xml:space="preserve">LA15-B2 </t>
    </r>
    <r>
      <rPr>
        <rFont val="Times New Roman"/>
        <color rgb="FFFF0000"/>
        <sz val="12.0"/>
      </rPr>
      <t>(LA12)</t>
    </r>
  </si>
  <si>
    <t>LA33-B2</t>
  </si>
  <si>
    <t>E4-B3</t>
  </si>
  <si>
    <r>
      <rPr>
        <rFont val="Times New Roman"/>
        <color theme="1"/>
        <sz val="12.0"/>
      </rPr>
      <t xml:space="preserve">N1-B3 </t>
    </r>
    <r>
      <rPr>
        <rFont val="Times New Roman"/>
        <color rgb="FFFF0000"/>
        <sz val="12.0"/>
      </rPr>
      <t>(LA2)</t>
    </r>
  </si>
  <si>
    <t>LA18-D1</t>
  </si>
  <si>
    <t>LA03-D2</t>
  </si>
  <si>
    <r>
      <rPr>
        <rFont val="Times New Roman"/>
        <color theme="1"/>
        <sz val="12.0"/>
      </rPr>
      <t xml:space="preserve">E2-D1 </t>
    </r>
    <r>
      <rPr>
        <rFont val="Times New Roman"/>
        <color rgb="FFFF0000"/>
        <sz val="12.0"/>
      </rPr>
      <t>(LA40)</t>
    </r>
  </si>
  <si>
    <t>LA16-D3</t>
  </si>
  <si>
    <t>R3 (5)-E1</t>
  </si>
  <si>
    <t>abril</t>
  </si>
  <si>
    <r>
      <rPr>
        <rFont val="Times New Roman"/>
        <color theme="1"/>
        <sz val="12.0"/>
      </rPr>
      <t>81-D2</t>
    </r>
    <r>
      <rPr>
        <rFont val="Times New Roman"/>
        <color rgb="FFFF0000"/>
        <sz val="12.0"/>
      </rPr>
      <t xml:space="preserve"> (E3)</t>
    </r>
  </si>
  <si>
    <t>TAC12-E2</t>
  </si>
  <si>
    <t>T1-E3</t>
  </si>
  <si>
    <t>LA58-A1</t>
  </si>
  <si>
    <r>
      <rPr>
        <rFont val="Times New Roman"/>
        <color theme="1"/>
        <sz val="12.0"/>
      </rPr>
      <t xml:space="preserve">R2-D3 </t>
    </r>
    <r>
      <rPr>
        <rFont val="Times New Roman"/>
        <color rgb="FFFF0000"/>
        <sz val="12.0"/>
      </rPr>
      <t>(LA25)</t>
    </r>
  </si>
  <si>
    <t>LA6 - A2</t>
  </si>
  <si>
    <r>
      <rPr>
        <rFont val="Times New Roman"/>
        <color theme="1"/>
        <sz val="12.0"/>
      </rPr>
      <t xml:space="preserve">N4-E1 </t>
    </r>
    <r>
      <rPr>
        <rFont val="Times New Roman"/>
        <color rgb="FFFF0000"/>
        <sz val="12.0"/>
      </rPr>
      <t>(TAC2)</t>
    </r>
  </si>
  <si>
    <t>LA45-A3</t>
  </si>
  <si>
    <t>LA50-B1</t>
  </si>
  <si>
    <t>LA61-B2</t>
  </si>
  <si>
    <r>
      <rPr>
        <rFont val="Times New Roman"/>
        <color theme="1"/>
        <sz val="12.0"/>
      </rPr>
      <t xml:space="preserve">E3-E2 </t>
    </r>
    <r>
      <rPr>
        <rFont val="Times New Roman"/>
        <color rgb="FFFF0000"/>
        <sz val="12.0"/>
      </rPr>
      <t>(LA36)</t>
    </r>
  </si>
  <si>
    <t>LA4-B3</t>
  </si>
  <si>
    <t>LA40-D1</t>
  </si>
  <si>
    <t>LA24-D2</t>
  </si>
  <si>
    <t>LA34-D3</t>
  </si>
  <si>
    <r>
      <rPr>
        <rFont val="Times New Roman"/>
        <color theme="1"/>
        <sz val="12.0"/>
      </rPr>
      <t xml:space="preserve">LA6-E3 </t>
    </r>
    <r>
      <rPr>
        <rFont val="Times New Roman"/>
        <color rgb="FFFF0000"/>
        <sz val="12.0"/>
      </rPr>
      <t>(LA43)</t>
    </r>
  </si>
  <si>
    <t>LA65- E1</t>
  </si>
  <si>
    <t>LA19-E2</t>
  </si>
  <si>
    <t>LA20-E3</t>
  </si>
  <si>
    <t>LA70-A1</t>
  </si>
  <si>
    <r>
      <rPr>
        <rFont val="Times New Roman"/>
        <color theme="1"/>
        <sz val="12.0"/>
      </rPr>
      <t xml:space="preserve">E2-A1 </t>
    </r>
    <r>
      <rPr>
        <rFont val="Times New Roman"/>
        <color rgb="FFFF0000"/>
        <sz val="12.0"/>
      </rPr>
      <t>(LA15)</t>
    </r>
  </si>
  <si>
    <t>Maio</t>
  </si>
  <si>
    <t>LA20 - A2</t>
  </si>
  <si>
    <r>
      <rPr>
        <rFont val="Times New Roman"/>
        <color theme="1"/>
        <sz val="12.0"/>
      </rPr>
      <t xml:space="preserve">R3-A2 </t>
    </r>
    <r>
      <rPr>
        <rFont val="Times New Roman"/>
        <color rgb="FFFF0000"/>
        <sz val="12.0"/>
      </rPr>
      <t>(TA4)</t>
    </r>
  </si>
  <si>
    <t>LA61-A3</t>
  </si>
  <si>
    <r>
      <rPr>
        <rFont val="Times New Roman"/>
        <color theme="1"/>
        <sz val="12.0"/>
      </rPr>
      <t xml:space="preserve">TA3-A3 </t>
    </r>
    <r>
      <rPr>
        <rFont val="Times New Roman"/>
        <color rgb="FFFF0000"/>
        <sz val="12.0"/>
      </rPr>
      <t>(LA2)</t>
    </r>
  </si>
  <si>
    <t>LA4-B1</t>
  </si>
  <si>
    <r>
      <rPr>
        <rFont val="Times New Roman"/>
        <color theme="1"/>
        <sz val="12.0"/>
      </rPr>
      <t xml:space="preserve">LA13-B1 </t>
    </r>
    <r>
      <rPr>
        <rFont val="Times New Roman"/>
        <color rgb="FFFF0000"/>
        <sz val="12.0"/>
      </rPr>
      <t>(N1)</t>
    </r>
  </si>
  <si>
    <t>LA6-B2</t>
  </si>
  <si>
    <r>
      <rPr>
        <rFont val="Times New Roman"/>
        <color theme="1"/>
        <sz val="12.0"/>
      </rPr>
      <t xml:space="preserve">E4-B3 </t>
    </r>
    <r>
      <rPr>
        <rFont val="Times New Roman"/>
        <color rgb="FFFF0000"/>
        <sz val="12.0"/>
      </rPr>
      <t>(E11)</t>
    </r>
  </si>
  <si>
    <t>LA34-B3</t>
  </si>
  <si>
    <r>
      <rPr>
        <rFont val="Times New Roman"/>
        <color theme="1"/>
        <sz val="12.0"/>
      </rPr>
      <t xml:space="preserve">LA18-D1 </t>
    </r>
    <r>
      <rPr>
        <rFont val="Times New Roman"/>
        <color rgb="FFFF0000"/>
        <sz val="12.0"/>
      </rPr>
      <t>(LA29)</t>
    </r>
  </si>
  <si>
    <t>LA19-D2</t>
  </si>
  <si>
    <t>LA06-D3</t>
  </si>
  <si>
    <t>LA45- E1</t>
  </si>
  <si>
    <r>
      <rPr>
        <rFont val="Times New Roman"/>
        <color theme="1"/>
        <sz val="12.0"/>
      </rPr>
      <t xml:space="preserve">LA03-D2 </t>
    </r>
    <r>
      <rPr>
        <rFont val="Times New Roman"/>
        <color rgb="FFFF0000"/>
        <sz val="12.0"/>
      </rPr>
      <t>(LA32)</t>
    </r>
  </si>
  <si>
    <t>LA58-E3</t>
  </si>
  <si>
    <r>
      <rPr>
        <rFont val="Times New Roman"/>
        <color theme="1"/>
        <sz val="12.0"/>
      </rPr>
      <t xml:space="preserve">LA16-D3 </t>
    </r>
    <r>
      <rPr>
        <rFont val="Times New Roman"/>
        <color rgb="FFFF0000"/>
        <sz val="12.0"/>
      </rPr>
      <t>(I3)</t>
    </r>
  </si>
  <si>
    <t>LA18-A1</t>
  </si>
  <si>
    <t>Junho</t>
  </si>
  <si>
    <r>
      <rPr>
        <rFont val="Times New Roman"/>
        <color theme="1"/>
        <sz val="12.0"/>
      </rPr>
      <t xml:space="preserve">R3 (5)-E1 </t>
    </r>
    <r>
      <rPr>
        <rFont val="Times New Roman"/>
        <color rgb="FFFF0000"/>
        <sz val="12.0"/>
      </rPr>
      <t>(N4)</t>
    </r>
  </si>
  <si>
    <t>N5-A2</t>
  </si>
  <si>
    <t>P1-A3</t>
  </si>
  <si>
    <t>N4-B1</t>
  </si>
  <si>
    <t>junho</t>
  </si>
  <si>
    <r>
      <rPr>
        <rFont val="Times New Roman"/>
        <color theme="1"/>
        <sz val="12.0"/>
      </rPr>
      <t xml:space="preserve">TAC12-E2 </t>
    </r>
    <r>
      <rPr>
        <rFont val="Times New Roman"/>
        <color rgb="FFFF0000"/>
        <sz val="12.0"/>
      </rPr>
      <t>(P1)</t>
    </r>
  </si>
  <si>
    <t>LA23-B2</t>
  </si>
  <si>
    <t>TA2-B3</t>
  </si>
  <si>
    <r>
      <rPr>
        <rFont val="Times New Roman"/>
        <color theme="1"/>
        <sz val="12.0"/>
      </rPr>
      <t xml:space="preserve">T1-E3 </t>
    </r>
    <r>
      <rPr>
        <rFont val="Times New Roman"/>
        <color rgb="FFFF0000"/>
        <sz val="12.0"/>
      </rPr>
      <t>(LA23)</t>
    </r>
  </si>
  <si>
    <t>TA10-D1</t>
  </si>
  <si>
    <t>LA15-D3</t>
  </si>
  <si>
    <t>LA20-E1</t>
  </si>
  <si>
    <r>
      <rPr>
        <rFont val="Times New Roman"/>
        <color theme="1"/>
        <sz val="12.0"/>
      </rPr>
      <t xml:space="preserve">LA58-A1 </t>
    </r>
    <r>
      <rPr>
        <rFont val="Times New Roman"/>
        <color rgb="FFFF0000"/>
        <sz val="12.0"/>
      </rPr>
      <t>(TA2)</t>
    </r>
  </si>
  <si>
    <t>C4-E2</t>
  </si>
  <si>
    <t>LA24-E3</t>
  </si>
  <si>
    <r>
      <rPr>
        <rFont val="Times New Roman"/>
        <color theme="1"/>
        <sz val="12.0"/>
      </rPr>
      <t xml:space="preserve">LA13-A2 </t>
    </r>
    <r>
      <rPr>
        <rFont val="Times New Roman"/>
        <color rgb="FFFF0000"/>
        <sz val="12.0"/>
      </rPr>
      <t>(LA6)</t>
    </r>
  </si>
  <si>
    <r>
      <rPr>
        <rFont val="Times New Roman"/>
        <color theme="1"/>
        <sz val="12.0"/>
      </rPr>
      <t xml:space="preserve">LA45-A3 </t>
    </r>
    <r>
      <rPr>
        <rFont val="Times New Roman"/>
        <color rgb="FFFF0000"/>
        <sz val="12.0"/>
      </rPr>
      <t>(T1)</t>
    </r>
  </si>
  <si>
    <r>
      <rPr>
        <rFont val="Times New Roman"/>
        <color theme="1"/>
        <sz val="12.0"/>
      </rPr>
      <t xml:space="preserve">LA50-B1 </t>
    </r>
    <r>
      <rPr>
        <rFont val="Times New Roman"/>
        <color rgb="FFFF0000"/>
        <sz val="12.0"/>
      </rPr>
      <t>(LA18)</t>
    </r>
  </si>
  <si>
    <r>
      <rPr>
        <rFont val="Times New Roman"/>
        <color theme="1"/>
        <sz val="12.0"/>
      </rPr>
      <t xml:space="preserve">LA61-B2 </t>
    </r>
    <r>
      <rPr>
        <rFont val="Times New Roman"/>
        <color rgb="FFFF0000"/>
        <sz val="12.0"/>
      </rPr>
      <t>(E4)</t>
    </r>
  </si>
  <si>
    <r>
      <rPr>
        <rFont val="Times New Roman"/>
        <color theme="1"/>
        <sz val="12.0"/>
      </rPr>
      <t xml:space="preserve">LA4-B3 </t>
    </r>
    <r>
      <rPr>
        <rFont val="Times New Roman"/>
        <color rgb="FFFF0000"/>
        <sz val="12.0"/>
      </rPr>
      <t>(TAC12)</t>
    </r>
  </si>
  <si>
    <r>
      <rPr>
        <rFont val="Times New Roman"/>
        <color theme="1"/>
        <sz val="12.0"/>
      </rPr>
      <t xml:space="preserve">LA40-D1 </t>
    </r>
    <r>
      <rPr>
        <rFont val="Times New Roman"/>
        <color rgb="FFFF0000"/>
        <sz val="12.0"/>
      </rPr>
      <t>(TA3)</t>
    </r>
  </si>
  <si>
    <r>
      <rPr>
        <rFont val="Times New Roman"/>
        <color theme="1"/>
        <sz val="12.0"/>
      </rPr>
      <t xml:space="preserve">LA24-D2 </t>
    </r>
    <r>
      <rPr>
        <rFont val="Times New Roman"/>
        <color rgb="FFFF0000"/>
        <sz val="12.0"/>
      </rPr>
      <t>(R-3)</t>
    </r>
  </si>
  <si>
    <r>
      <rPr>
        <rFont val="Times New Roman"/>
        <color theme="1"/>
        <sz val="12.0"/>
      </rPr>
      <t xml:space="preserve">LA34-D3 </t>
    </r>
    <r>
      <rPr>
        <rFont val="Times New Roman"/>
        <color rgb="FFFF0000"/>
        <sz val="12.0"/>
      </rPr>
      <t>(LA33)</t>
    </r>
  </si>
  <si>
    <r>
      <rPr>
        <rFont val="Times New Roman"/>
        <color theme="1"/>
        <sz val="12.0"/>
      </rPr>
      <t xml:space="preserve">LA65-E1 </t>
    </r>
    <r>
      <rPr>
        <rFont val="Times New Roman"/>
        <color rgb="FFFF0000"/>
        <sz val="12.0"/>
      </rPr>
      <t>(R2)</t>
    </r>
  </si>
  <si>
    <r>
      <rPr>
        <rFont val="Times New Roman"/>
        <color theme="1"/>
        <sz val="12.0"/>
      </rPr>
      <t xml:space="preserve">LA20-E3 </t>
    </r>
    <r>
      <rPr>
        <rFont val="Times New Roman"/>
        <color rgb="FFFF0000"/>
        <sz val="12.0"/>
      </rPr>
      <t>(LA16)</t>
    </r>
  </si>
  <si>
    <r>
      <rPr>
        <rFont val="Times New Roman"/>
        <color theme="1"/>
        <sz val="12.0"/>
      </rPr>
      <t xml:space="preserve">LA70-A1 </t>
    </r>
    <r>
      <rPr>
        <rFont val="Times New Roman"/>
        <color rgb="FFFF0000"/>
        <sz val="12.0"/>
      </rPr>
      <t>(TA4)</t>
    </r>
  </si>
  <si>
    <r>
      <rPr>
        <rFont val="Times New Roman"/>
        <color theme="1"/>
        <sz val="12.0"/>
      </rPr>
      <t xml:space="preserve">LA20-A2 </t>
    </r>
    <r>
      <rPr>
        <rFont val="Times New Roman"/>
        <color rgb="FFFF0000"/>
        <sz val="12.0"/>
      </rPr>
      <t>(TA001)</t>
    </r>
  </si>
  <si>
    <r>
      <rPr>
        <rFont val="Times New Roman"/>
        <color theme="1"/>
        <sz val="12.0"/>
      </rPr>
      <t xml:space="preserve">LA6-B2 </t>
    </r>
    <r>
      <rPr>
        <rFont val="Times New Roman"/>
        <color rgb="FFFF0000"/>
        <sz val="12.0"/>
      </rPr>
      <t>(LA49)</t>
    </r>
  </si>
  <si>
    <r>
      <rPr>
        <rFont val="Times New Roman"/>
        <color theme="1"/>
        <sz val="12.0"/>
      </rPr>
      <t xml:space="preserve">LA34-B3 </t>
    </r>
    <r>
      <rPr>
        <rFont val="Times New Roman"/>
        <color rgb="FFFF0000"/>
        <sz val="12.0"/>
      </rPr>
      <t>(I3)</t>
    </r>
  </si>
  <si>
    <r>
      <rPr>
        <rFont val="Times New Roman"/>
        <color theme="1"/>
        <sz val="12.0"/>
      </rPr>
      <t xml:space="preserve">LA18-D1 </t>
    </r>
    <r>
      <rPr>
        <rFont val="Times New Roman"/>
        <color rgb="FFFF0000"/>
        <sz val="12.0"/>
      </rPr>
      <t>(TA5)</t>
    </r>
  </si>
  <si>
    <r>
      <rPr>
        <rFont val="Times New Roman"/>
        <color theme="1"/>
        <sz val="12.0"/>
      </rPr>
      <t xml:space="preserve">LA19-D2 </t>
    </r>
    <r>
      <rPr>
        <rFont val="Times New Roman"/>
        <color rgb="FFFF0000"/>
        <sz val="12.0"/>
      </rPr>
      <t>(E2)</t>
    </r>
  </si>
  <si>
    <r>
      <rPr>
        <rFont val="Times New Roman"/>
        <color theme="1"/>
        <sz val="12.0"/>
      </rPr>
      <t xml:space="preserve">LA06-D3 </t>
    </r>
    <r>
      <rPr>
        <rFont val="Times New Roman"/>
        <color rgb="FFFF0000"/>
        <sz val="12.0"/>
      </rPr>
      <t>(I8)</t>
    </r>
  </si>
  <si>
    <r>
      <rPr>
        <rFont val="Times New Roman"/>
        <color theme="1"/>
        <sz val="12.0"/>
      </rPr>
      <t xml:space="preserve">LA45-E1 </t>
    </r>
    <r>
      <rPr>
        <rFont val="Times New Roman"/>
        <color rgb="FFFF0000"/>
        <sz val="12.0"/>
      </rPr>
      <t>(I15)</t>
    </r>
  </si>
  <si>
    <r>
      <rPr>
        <rFont val="Times New Roman"/>
        <color theme="1"/>
        <sz val="12.0"/>
      </rPr>
      <t xml:space="preserve">LA50-E1 </t>
    </r>
    <r>
      <rPr>
        <rFont val="Times New Roman"/>
        <color rgb="FFFF0000"/>
        <sz val="12.0"/>
      </rPr>
      <t>(E34)</t>
    </r>
  </si>
  <si>
    <r>
      <rPr>
        <rFont val="Times New Roman"/>
        <color theme="1"/>
        <sz val="12.0"/>
      </rPr>
      <t xml:space="preserve">LA58-E1 </t>
    </r>
    <r>
      <rPr>
        <rFont val="Times New Roman"/>
        <color rgb="FFFF0000"/>
        <sz val="12.0"/>
      </rPr>
      <t>(LA9)</t>
    </r>
  </si>
  <si>
    <r>
      <rPr>
        <rFont val="Times New Roman"/>
        <color theme="1"/>
        <sz val="12.0"/>
      </rPr>
      <t xml:space="preserve">LA18-A1 </t>
    </r>
    <r>
      <rPr>
        <rFont val="Times New Roman"/>
        <color rgb="FFFF0000"/>
        <sz val="12.0"/>
      </rPr>
      <t>(TA4)</t>
    </r>
  </si>
  <si>
    <t>N5-A2 (TA5)</t>
  </si>
  <si>
    <t>P1-A3 (TA01)</t>
  </si>
  <si>
    <t>N4-B1 (LA301)</t>
  </si>
  <si>
    <t>LA23-B2 (E2)</t>
  </si>
  <si>
    <t>TA2-B3 (LA30)</t>
  </si>
  <si>
    <t>TA10-D1 (XIV)</t>
  </si>
  <si>
    <t>LA03-D2 (TA3)</t>
  </si>
  <si>
    <t>LA15-D3 (E11)</t>
  </si>
  <si>
    <t>LA20-E1 (LA39)</t>
  </si>
  <si>
    <t>C4-E2 (XI)</t>
  </si>
  <si>
    <t>LA24-E3 (TA12)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</si>
</sst>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2" fontId="1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2" fontId="3" numFmtId="2" xfId="0" applyAlignment="1" applyBorder="1" applyFill="1" applyFont="1" applyNumberFormat="1">
      <alignment horizontal="center" readingOrder="0" vertical="bottom"/>
    </xf>
    <xf borderId="2" fillId="2" fontId="3" numFmtId="0" xfId="0" applyAlignment="1" applyBorder="1" applyFill="1" applyFont="1">
      <alignment horizontal="center" shrinkToFit="0" vertical="center" wrapText="1"/>
    </xf>
    <xf borderId="7" fillId="0" fontId="4" numFmtId="2" xfId="0" applyAlignment="1" applyBorder="1" applyFont="1" applyNumberFormat="1">
      <alignment horizontal="center"/>
    </xf>
    <xf borderId="4" fillId="2" fontId="3" numFmtId="0" xfId="0" applyAlignment="1" applyBorder="1" applyFill="1" applyFont="1">
      <alignment horizontal="center" shrinkToFit="0" vertical="bottom" wrapText="1"/>
    </xf>
    <xf borderId="4" fillId="2" fontId="3" numFmtId="0" xfId="0" applyAlignment="1" applyBorder="1" applyFill="1" applyFont="1">
      <alignment horizontal="center" readingOrder="0" shrinkToFit="0" vertical="bottom" wrapText="1"/>
    </xf>
    <xf borderId="7" fillId="2" fontId="3" numFmtId="0" xfId="0" applyAlignment="1" applyBorder="1" applyFill="1" applyFont="1">
      <alignment horizontal="center" readingOrder="0" shrinkToFit="0" vertical="bottom" wrapText="1"/>
    </xf>
    <xf borderId="7" fillId="0" fontId="4" numFmtId="2" xfId="0" applyAlignment="1" applyBorder="1" applyFont="1" applyNumberFormat="1">
      <alignment horizontal="center" shrinkToFit="0" wrapText="1"/>
    </xf>
    <xf borderId="5" fillId="0" fontId="2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5" fillId="2" fontId="3" numFmtId="2" xfId="0" applyAlignment="1" applyBorder="1" applyFill="1" applyFont="1" applyNumberFormat="1">
      <alignment horizontal="center" vertical="bottom"/>
    </xf>
    <xf borderId="0" fillId="2" fontId="3" numFmtId="2" xfId="0" applyAlignment="1" applyFill="1" applyFont="1" applyNumberFormat="1">
      <alignment horizontal="center" vertical="bottom"/>
    </xf>
    <xf borderId="0" fillId="0" fontId="4" numFmtId="2" xfId="0" applyAlignment="1" applyFont="1" applyNumberFormat="1">
      <alignment horizontal="center" readingOrder="0"/>
    </xf>
    <xf borderId="8" fillId="0" fontId="4" numFmtId="0" xfId="0" applyAlignment="1" applyBorder="1" applyFont="1">
      <alignment horizontal="center"/>
    </xf>
    <xf borderId="9" fillId="2" fontId="3" numFmtId="2" xfId="0" applyAlignment="1" applyBorder="1" applyFill="1" applyFont="1" applyNumberFormat="1">
      <alignment horizontal="center" readingOrder="0" vertical="bottom"/>
    </xf>
    <xf borderId="10" fillId="0" fontId="4" numFmtId="2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/>
    </xf>
    <xf borderId="10" fillId="2" fontId="3" numFmtId="0" xfId="0" applyAlignment="1" applyBorder="1" applyFill="1" applyFont="1">
      <alignment horizontal="center" readingOrder="0" shrinkToFit="0" vertical="bottom" wrapText="1"/>
    </xf>
    <xf borderId="10" fillId="0" fontId="4" numFmtId="2" xfId="0" applyAlignment="1" applyBorder="1" applyFont="1" applyNumberFormat="1">
      <alignment horizontal="center" shrinkToFit="0" wrapText="1"/>
    </xf>
    <xf borderId="11" fillId="2" fontId="3" numFmtId="2" xfId="0" applyAlignment="1" applyBorder="1" applyFill="1" applyFont="1" applyNumberFormat="1">
      <alignment horizontal="center" readingOrder="0" vertical="bottom"/>
    </xf>
    <xf borderId="12" fillId="0" fontId="4" numFmtId="2" xfId="0" applyAlignment="1" applyBorder="1" applyFont="1" applyNumberFormat="1">
      <alignment horizontal="center"/>
    </xf>
    <xf borderId="12" fillId="2" fontId="3" numFmtId="0" xfId="0" applyAlignment="1" applyBorder="1" applyFill="1" applyFont="1">
      <alignment horizontal="center" readingOrder="0" shrinkToFit="0" vertical="bottom" wrapText="1"/>
    </xf>
    <xf borderId="12" fillId="0" fontId="4" numFmtId="2" xfId="0" applyAlignment="1" applyBorder="1" applyFont="1" applyNumberFormat="1">
      <alignment horizontal="center" shrinkToFit="0" wrapText="1"/>
    </xf>
    <xf borderId="4" fillId="2" fontId="3" numFmtId="0" xfId="0" applyAlignment="1" applyBorder="1" applyFill="1" applyFont="1">
      <alignment horizontal="center" readingOrder="0"/>
    </xf>
    <xf borderId="13" fillId="2" fontId="3" numFmtId="2" xfId="0" applyAlignment="1" applyBorder="1" applyFill="1" applyFont="1" applyNumberFormat="1">
      <alignment horizontal="center" readingOrder="0" vertical="bottom"/>
    </xf>
    <xf borderId="1" fillId="0" fontId="4" numFmtId="2" xfId="0" applyAlignment="1" applyBorder="1" applyFont="1" applyNumberFormat="1">
      <alignment horizontal="center" readingOrder="0"/>
    </xf>
    <xf borderId="14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3" fillId="2" fontId="3" numFmtId="2" xfId="0" applyAlignment="1" applyBorder="1" applyFill="1" applyFont="1" applyNumberFormat="1">
      <alignment horizontal="center" readingOrder="0" vertical="bottom"/>
    </xf>
    <xf borderId="0" fillId="0" fontId="4" numFmtId="0" xfId="0" applyAlignment="1" applyFont="1">
      <alignment horizontal="center" readingOrder="0"/>
    </xf>
    <xf borderId="7" fillId="2" fontId="3" numFmtId="2" xfId="0" applyAlignment="1" applyBorder="1" applyFill="1" applyFont="1" applyNumberFormat="1">
      <alignment horizontal="center" readingOrder="0" vertical="bottom"/>
    </xf>
    <xf borderId="10" fillId="2" fontId="3" numFmtId="2" xfId="0" applyAlignment="1" applyBorder="1" applyFill="1" applyFont="1" applyNumberFormat="1">
      <alignment horizontal="center" readingOrder="0" vertical="bottom"/>
    </xf>
    <xf borderId="12" fillId="2" fontId="3" numFmtId="2" xfId="0" applyAlignment="1" applyBorder="1" applyFill="1" applyFont="1" applyNumberFormat="1">
      <alignment horizontal="center" readingOrder="0" vertical="bottom"/>
    </xf>
    <xf borderId="8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 shrinkToFit="0" wrapText="1"/>
    </xf>
    <xf borderId="10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 shrinkToFit="0" wrapText="1"/>
    </xf>
    <xf borderId="12" fillId="0" fontId="4" numFmtId="0" xfId="0" applyAlignment="1" applyBorder="1" applyFont="1">
      <alignment horizontal="center"/>
    </xf>
    <xf borderId="0" fillId="2" fontId="3" numFmtId="0" xfId="0" applyAlignment="1" applyFill="1" applyFont="1">
      <alignment horizontal="center"/>
    </xf>
    <xf borderId="15" fillId="0" fontId="4" numFmtId="0" xfId="0" applyAlignment="1" applyBorder="1" applyFont="1">
      <alignment horizontal="center"/>
    </xf>
    <xf borderId="16" fillId="0" fontId="4" numFmtId="0" xfId="0" applyAlignment="1" applyBorder="1" applyFont="1">
      <alignment horizontal="center"/>
    </xf>
    <xf borderId="10" fillId="2" fontId="4" numFmtId="0" xfId="0" applyAlignment="1" applyBorder="1" applyFill="1" applyFont="1">
      <alignment horizontal="center"/>
    </xf>
    <xf borderId="10" fillId="2" fontId="4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0" fillId="2" fontId="3" numFmtId="0" xfId="0" applyAlignment="1" applyFill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wrapText="1"/>
    </xf>
    <xf borderId="0" fillId="0" fontId="4" numFmtId="2" xfId="0" applyAlignment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8.5"/>
    <col customWidth="1" min="3" max="3" width="36.75"/>
    <col customWidth="1" min="4" max="4" width="10.13"/>
    <col customWidth="1" min="5" max="5" width="10.0"/>
    <col customWidth="1" min="6" max="6" width="10.25"/>
    <col customWidth="1" min="7" max="29" width="6.38"/>
  </cols>
  <sheetData>
    <row r="1">
      <c r="A1" s="1" t="s">
        <v>0</v>
      </c>
      <c r="B1" s="3" t="s">
        <v>1</v>
      </c>
      <c r="C1" s="5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11" t="s">
        <v>13</v>
      </c>
      <c r="B2" s="13" t="s">
        <v>15</v>
      </c>
      <c r="C2" s="14" t="s">
        <v>16</v>
      </c>
      <c r="D2" s="14" t="s">
        <v>17</v>
      </c>
      <c r="E2" s="13">
        <v>5.0245</v>
      </c>
      <c r="F2" s="13">
        <v>11.2</v>
      </c>
      <c r="G2" s="19">
        <f t="shared" ref="G2:G49" si="1">(F2*1.01*100)/(E2*100)</f>
        <v>2.251368295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>
      <c r="A3" s="11" t="s">
        <v>13</v>
      </c>
      <c r="B3" s="13" t="s">
        <v>20</v>
      </c>
      <c r="C3" s="14" t="s">
        <v>16</v>
      </c>
      <c r="D3" s="14" t="s">
        <v>17</v>
      </c>
      <c r="E3" s="13">
        <v>5.0321</v>
      </c>
      <c r="F3" s="13">
        <v>13.9</v>
      </c>
      <c r="G3" s="19">
        <f t="shared" si="1"/>
        <v>2.789888913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>
      <c r="A4" s="11" t="s">
        <v>13</v>
      </c>
      <c r="B4" s="13" t="s">
        <v>23</v>
      </c>
      <c r="C4" s="14" t="s">
        <v>16</v>
      </c>
      <c r="D4" s="14" t="s">
        <v>17</v>
      </c>
      <c r="E4" s="13">
        <v>4.6086</v>
      </c>
      <c r="F4" s="13">
        <v>15.3</v>
      </c>
      <c r="G4" s="19">
        <f t="shared" si="1"/>
        <v>3.353079026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>
      <c r="A5" s="11" t="s">
        <v>13</v>
      </c>
      <c r="B5" s="13" t="s">
        <v>24</v>
      </c>
      <c r="C5" s="14" t="s">
        <v>25</v>
      </c>
      <c r="D5" s="14" t="s">
        <v>17</v>
      </c>
      <c r="E5" s="13">
        <v>5.006</v>
      </c>
      <c r="F5" s="13">
        <v>11.7</v>
      </c>
      <c r="G5" s="19">
        <f t="shared" si="1"/>
        <v>2.360567319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>
      <c r="A6" s="11" t="s">
        <v>13</v>
      </c>
      <c r="B6" s="13" t="s">
        <v>28</v>
      </c>
      <c r="C6" s="14" t="s">
        <v>25</v>
      </c>
      <c r="D6" s="14" t="s">
        <v>17</v>
      </c>
      <c r="E6" s="13">
        <v>5.0024</v>
      </c>
      <c r="F6" s="13">
        <v>15.1</v>
      </c>
      <c r="G6" s="19">
        <f t="shared" si="1"/>
        <v>3.048736606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>
      <c r="A7" s="11" t="s">
        <v>13</v>
      </c>
      <c r="B7" s="13" t="s">
        <v>30</v>
      </c>
      <c r="C7" s="14" t="s">
        <v>25</v>
      </c>
      <c r="D7" s="14" t="s">
        <v>17</v>
      </c>
      <c r="E7" s="13">
        <v>4.1051</v>
      </c>
      <c r="F7" s="13">
        <v>12.0</v>
      </c>
      <c r="G7" s="19">
        <f t="shared" si="1"/>
        <v>2.952425032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>
      <c r="A8" s="11" t="s">
        <v>13</v>
      </c>
      <c r="B8" s="13" t="s">
        <v>32</v>
      </c>
      <c r="C8" s="14" t="s">
        <v>34</v>
      </c>
      <c r="D8" s="14" t="s">
        <v>17</v>
      </c>
      <c r="E8" s="13">
        <v>5.0373</v>
      </c>
      <c r="F8" s="13">
        <v>11.9</v>
      </c>
      <c r="G8" s="19">
        <f t="shared" si="1"/>
        <v>2.386000437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>
      <c r="A9" s="11" t="s">
        <v>13</v>
      </c>
      <c r="B9" s="13" t="s">
        <v>36</v>
      </c>
      <c r="C9" s="14" t="s">
        <v>34</v>
      </c>
      <c r="D9" s="14" t="s">
        <v>17</v>
      </c>
      <c r="E9" s="13">
        <v>5.0145</v>
      </c>
      <c r="F9" s="13">
        <v>12.6</v>
      </c>
      <c r="G9" s="19">
        <f t="shared" si="1"/>
        <v>2.537840263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>
      <c r="A10" s="11" t="s">
        <v>13</v>
      </c>
      <c r="B10" s="13" t="s">
        <v>41</v>
      </c>
      <c r="C10" s="14" t="s">
        <v>34</v>
      </c>
      <c r="D10" s="14" t="s">
        <v>17</v>
      </c>
      <c r="E10" s="13">
        <v>4.8987</v>
      </c>
      <c r="F10" s="13">
        <v>12.2</v>
      </c>
      <c r="G10" s="19">
        <f t="shared" si="1"/>
        <v>2.515361218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>
      <c r="A11" s="11" t="s">
        <v>13</v>
      </c>
      <c r="B11" s="13" t="s">
        <v>43</v>
      </c>
      <c r="C11" s="14" t="s">
        <v>40</v>
      </c>
      <c r="D11" s="14" t="s">
        <v>17</v>
      </c>
      <c r="E11" s="13">
        <v>5.0093</v>
      </c>
      <c r="F11" s="13">
        <v>15.0</v>
      </c>
      <c r="G11" s="19">
        <f t="shared" si="1"/>
        <v>3.024374663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>
      <c r="A12" s="11" t="s">
        <v>13</v>
      </c>
      <c r="B12" s="13" t="s">
        <v>46</v>
      </c>
      <c r="C12" s="14" t="s">
        <v>40</v>
      </c>
      <c r="D12" s="14" t="s">
        <v>17</v>
      </c>
      <c r="E12" s="13">
        <v>5.0023</v>
      </c>
      <c r="F12" s="13">
        <v>12.3</v>
      </c>
      <c r="G12" s="19">
        <f t="shared" si="1"/>
        <v>2.483457609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>
      <c r="A13" s="11" t="s">
        <v>13</v>
      </c>
      <c r="B13" s="13" t="s">
        <v>47</v>
      </c>
      <c r="C13" s="14" t="s">
        <v>40</v>
      </c>
      <c r="D13" s="14" t="s">
        <v>17</v>
      </c>
      <c r="E13" s="13">
        <v>5.0081</v>
      </c>
      <c r="F13" s="13">
        <v>12.0</v>
      </c>
      <c r="G13" s="19">
        <f t="shared" si="1"/>
        <v>2.420079471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>
      <c r="A14" s="11" t="s">
        <v>13</v>
      </c>
      <c r="B14" s="13" t="s">
        <v>15</v>
      </c>
      <c r="C14" s="14" t="s">
        <v>16</v>
      </c>
      <c r="D14" s="32" t="s">
        <v>53</v>
      </c>
      <c r="E14" s="13">
        <v>5.0025</v>
      </c>
      <c r="F14" s="13">
        <v>24.1</v>
      </c>
      <c r="G14" s="19">
        <f t="shared" si="1"/>
        <v>4.865767116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>
      <c r="A15" s="11" t="s">
        <v>13</v>
      </c>
      <c r="B15" s="13" t="s">
        <v>20</v>
      </c>
      <c r="C15" s="14" t="s">
        <v>16</v>
      </c>
      <c r="D15" s="32" t="s">
        <v>53</v>
      </c>
      <c r="E15" s="13">
        <v>5.0323</v>
      </c>
      <c r="F15" s="13">
        <v>22.9</v>
      </c>
      <c r="G15" s="19">
        <f t="shared" si="1"/>
        <v>4.596109135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>
      <c r="A16" s="11" t="s">
        <v>13</v>
      </c>
      <c r="B16" s="13" t="s">
        <v>23</v>
      </c>
      <c r="C16" s="14" t="s">
        <v>16</v>
      </c>
      <c r="D16" s="32" t="s">
        <v>53</v>
      </c>
      <c r="E16" s="13">
        <v>5.0768</v>
      </c>
      <c r="F16" s="13">
        <v>24.2</v>
      </c>
      <c r="G16" s="19">
        <f t="shared" si="1"/>
        <v>4.814450047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>
      <c r="A17" s="11" t="s">
        <v>13</v>
      </c>
      <c r="B17" s="13" t="s">
        <v>24</v>
      </c>
      <c r="C17" s="14" t="s">
        <v>25</v>
      </c>
      <c r="D17" s="32" t="s">
        <v>64</v>
      </c>
      <c r="E17" s="13">
        <v>5.0387</v>
      </c>
      <c r="F17" s="13">
        <v>18.2</v>
      </c>
      <c r="G17" s="19">
        <f t="shared" si="1"/>
        <v>3.648163217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>
      <c r="A18" s="11" t="s">
        <v>13</v>
      </c>
      <c r="B18" s="13" t="s">
        <v>28</v>
      </c>
      <c r="C18" s="14" t="s">
        <v>25</v>
      </c>
      <c r="D18" s="32" t="s">
        <v>64</v>
      </c>
      <c r="E18" s="13">
        <v>5.0032</v>
      </c>
      <c r="F18" s="13">
        <v>18.5</v>
      </c>
      <c r="G18" s="19">
        <f t="shared" si="1"/>
        <v>3.73460985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>
      <c r="A19" s="11" t="s">
        <v>13</v>
      </c>
      <c r="B19" s="13" t="s">
        <v>30</v>
      </c>
      <c r="C19" s="14" t="s">
        <v>25</v>
      </c>
      <c r="D19" s="32" t="s">
        <v>64</v>
      </c>
      <c r="E19" s="13">
        <v>5.0457</v>
      </c>
      <c r="F19" s="13">
        <v>20.2</v>
      </c>
      <c r="G19" s="19">
        <f t="shared" si="1"/>
        <v>4.043442932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>
      <c r="A20" s="11" t="s">
        <v>13</v>
      </c>
      <c r="B20" s="13" t="s">
        <v>32</v>
      </c>
      <c r="C20" s="14" t="s">
        <v>34</v>
      </c>
      <c r="D20" s="32" t="s">
        <v>64</v>
      </c>
      <c r="E20" s="13">
        <v>5.0251</v>
      </c>
      <c r="F20" s="13">
        <v>19.2</v>
      </c>
      <c r="G20" s="19">
        <f t="shared" si="1"/>
        <v>3.859027681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ht="16.5" customHeight="1">
      <c r="A21" s="11" t="s">
        <v>13</v>
      </c>
      <c r="B21" s="13" t="s">
        <v>36</v>
      </c>
      <c r="C21" s="14" t="s">
        <v>34</v>
      </c>
      <c r="D21" s="32" t="s">
        <v>64</v>
      </c>
      <c r="E21" s="13">
        <v>5.0149</v>
      </c>
      <c r="F21" s="13">
        <v>24.5</v>
      </c>
      <c r="G21" s="19">
        <f t="shared" si="1"/>
        <v>4.934295799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>
      <c r="A22" s="11" t="s">
        <v>13</v>
      </c>
      <c r="B22" s="13" t="s">
        <v>41</v>
      </c>
      <c r="C22" s="14" t="s">
        <v>34</v>
      </c>
      <c r="D22" s="32" t="s">
        <v>64</v>
      </c>
      <c r="E22" s="13">
        <v>5.0376</v>
      </c>
      <c r="F22" s="13">
        <v>19.6</v>
      </c>
      <c r="G22" s="19">
        <f t="shared" si="1"/>
        <v>3.929649039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>
      <c r="A23" s="11" t="s">
        <v>13</v>
      </c>
      <c r="B23" s="13" t="s">
        <v>43</v>
      </c>
      <c r="C23" s="14" t="s">
        <v>40</v>
      </c>
      <c r="D23" s="32" t="s">
        <v>64</v>
      </c>
      <c r="E23" s="13">
        <v>5.0225</v>
      </c>
      <c r="F23" s="13">
        <v>20.7</v>
      </c>
      <c r="G23" s="19">
        <f t="shared" si="1"/>
        <v>4.162667994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>
      <c r="A24" s="11" t="s">
        <v>13</v>
      </c>
      <c r="B24" s="13" t="s">
        <v>46</v>
      </c>
      <c r="C24" s="14" t="s">
        <v>40</v>
      </c>
      <c r="D24" s="32" t="s">
        <v>64</v>
      </c>
      <c r="E24" s="13">
        <v>5.0103</v>
      </c>
      <c r="F24" s="13">
        <v>20.8</v>
      </c>
      <c r="G24" s="19">
        <f t="shared" si="1"/>
        <v>4.192962497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>
      <c r="A25" s="11" t="s">
        <v>13</v>
      </c>
      <c r="B25" s="13" t="s">
        <v>47</v>
      </c>
      <c r="C25" s="14" t="s">
        <v>40</v>
      </c>
      <c r="D25" s="32" t="s">
        <v>64</v>
      </c>
      <c r="E25" s="13">
        <v>5.0437</v>
      </c>
      <c r="F25" s="13">
        <v>21.5</v>
      </c>
      <c r="G25" s="19">
        <f t="shared" si="1"/>
        <v>4.305371057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1" t="s">
        <v>13</v>
      </c>
      <c r="B26" s="13" t="s">
        <v>15</v>
      </c>
      <c r="C26" s="14" t="s">
        <v>16</v>
      </c>
      <c r="D26" s="32" t="s">
        <v>86</v>
      </c>
      <c r="E26" s="13">
        <v>5.0146</v>
      </c>
      <c r="F26" s="13">
        <v>18.1</v>
      </c>
      <c r="G26" s="19">
        <f t="shared" si="1"/>
        <v>3.645554979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>
      <c r="A27" s="11" t="s">
        <v>13</v>
      </c>
      <c r="B27" s="13" t="s">
        <v>20</v>
      </c>
      <c r="C27" s="14" t="s">
        <v>16</v>
      </c>
      <c r="D27" s="32" t="s">
        <v>86</v>
      </c>
      <c r="E27" s="13">
        <v>5.0108</v>
      </c>
      <c r="F27" s="13">
        <v>20.6</v>
      </c>
      <c r="G27" s="19">
        <f t="shared" si="1"/>
        <v>4.152231181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>
      <c r="A28" s="11" t="s">
        <v>13</v>
      </c>
      <c r="B28" s="13" t="s">
        <v>23</v>
      </c>
      <c r="C28" s="14" t="s">
        <v>16</v>
      </c>
      <c r="D28" s="32" t="s">
        <v>86</v>
      </c>
      <c r="E28" s="13">
        <v>5.0785</v>
      </c>
      <c r="F28" s="13">
        <v>18.4</v>
      </c>
      <c r="G28" s="19">
        <f t="shared" si="1"/>
        <v>3.659348233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>
      <c r="A29" s="11" t="s">
        <v>13</v>
      </c>
      <c r="B29" s="13" t="s">
        <v>24</v>
      </c>
      <c r="C29" s="14" t="s">
        <v>25</v>
      </c>
      <c r="D29" s="32" t="s">
        <v>86</v>
      </c>
      <c r="E29" s="13">
        <v>5.0602</v>
      </c>
      <c r="F29" s="13">
        <v>19.5</v>
      </c>
      <c r="G29" s="19">
        <f t="shared" si="1"/>
        <v>3.892138651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>
      <c r="A30" s="11" t="s">
        <v>13</v>
      </c>
      <c r="B30" s="13" t="s">
        <v>28</v>
      </c>
      <c r="C30" s="14" t="s">
        <v>25</v>
      </c>
      <c r="D30" s="32" t="s">
        <v>86</v>
      </c>
      <c r="E30" s="13">
        <v>5.0665</v>
      </c>
      <c r="F30" s="13">
        <v>24.6</v>
      </c>
      <c r="G30" s="19">
        <f t="shared" si="1"/>
        <v>4.903977105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>
      <c r="A31" s="11" t="s">
        <v>13</v>
      </c>
      <c r="B31" s="13" t="s">
        <v>30</v>
      </c>
      <c r="C31" s="14" t="s">
        <v>25</v>
      </c>
      <c r="D31" s="32" t="s">
        <v>86</v>
      </c>
      <c r="E31" s="13">
        <v>5.0784</v>
      </c>
      <c r="F31" s="13">
        <v>27.0</v>
      </c>
      <c r="G31" s="19">
        <f t="shared" si="1"/>
        <v>5.369801512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>
      <c r="A32" s="11" t="s">
        <v>13</v>
      </c>
      <c r="B32" s="13" t="s">
        <v>32</v>
      </c>
      <c r="C32" s="14" t="s">
        <v>34</v>
      </c>
      <c r="D32" s="32" t="s">
        <v>86</v>
      </c>
      <c r="E32" s="13">
        <v>5.063</v>
      </c>
      <c r="F32" s="13">
        <v>24.4</v>
      </c>
      <c r="G32" s="19">
        <f t="shared" si="1"/>
        <v>4.86746988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>
      <c r="A33" s="11" t="s">
        <v>13</v>
      </c>
      <c r="B33" s="13" t="s">
        <v>36</v>
      </c>
      <c r="C33" s="14" t="s">
        <v>34</v>
      </c>
      <c r="D33" s="32" t="s">
        <v>86</v>
      </c>
      <c r="E33" s="13">
        <v>5.0748</v>
      </c>
      <c r="F33" s="13">
        <v>23.4</v>
      </c>
      <c r="G33" s="19">
        <f t="shared" si="1"/>
        <v>4.657129345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11" t="s">
        <v>13</v>
      </c>
      <c r="B34" s="13" t="s">
        <v>41</v>
      </c>
      <c r="C34" s="14" t="s">
        <v>34</v>
      </c>
      <c r="D34" s="32" t="s">
        <v>86</v>
      </c>
      <c r="E34" s="13">
        <v>5.088</v>
      </c>
      <c r="F34" s="13">
        <v>18.2</v>
      </c>
      <c r="G34" s="19">
        <f t="shared" si="1"/>
        <v>3.612814465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>
      <c r="A35" s="11" t="s">
        <v>13</v>
      </c>
      <c r="B35" s="13" t="s">
        <v>43</v>
      </c>
      <c r="C35" s="14" t="s">
        <v>40</v>
      </c>
      <c r="D35" s="32" t="s">
        <v>86</v>
      </c>
      <c r="E35" s="13">
        <v>5.0779</v>
      </c>
      <c r="F35" s="13">
        <v>22.7</v>
      </c>
      <c r="G35" s="19">
        <f t="shared" si="1"/>
        <v>4.515055436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>
      <c r="A36" s="11" t="s">
        <v>13</v>
      </c>
      <c r="B36" s="13" t="s">
        <v>46</v>
      </c>
      <c r="C36" s="14" t="s">
        <v>40</v>
      </c>
      <c r="D36" s="32" t="s">
        <v>86</v>
      </c>
      <c r="E36" s="13">
        <v>5.012</v>
      </c>
      <c r="F36" s="13">
        <v>25.0</v>
      </c>
      <c r="G36" s="19">
        <f t="shared" si="1"/>
        <v>5.037909018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>
      <c r="A37" s="11" t="s">
        <v>13</v>
      </c>
      <c r="B37" s="13" t="s">
        <v>47</v>
      </c>
      <c r="C37" s="14" t="s">
        <v>40</v>
      </c>
      <c r="D37" s="32" t="s">
        <v>86</v>
      </c>
      <c r="E37" s="13">
        <v>5.0463</v>
      </c>
      <c r="F37" s="13">
        <v>25.0</v>
      </c>
      <c r="G37" s="19">
        <f t="shared" si="1"/>
        <v>5.003666052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>
      <c r="A38" s="11" t="s">
        <v>13</v>
      </c>
      <c r="B38" s="13" t="s">
        <v>15</v>
      </c>
      <c r="C38" s="14" t="s">
        <v>16</v>
      </c>
      <c r="D38" s="32" t="s">
        <v>104</v>
      </c>
      <c r="E38" s="13">
        <v>5.005</v>
      </c>
      <c r="F38" s="13">
        <v>26.2</v>
      </c>
      <c r="G38" s="19">
        <f t="shared" si="1"/>
        <v>5.287112887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>
      <c r="A39" s="11" t="s">
        <v>13</v>
      </c>
      <c r="B39" s="13" t="s">
        <v>20</v>
      </c>
      <c r="C39" s="14" t="s">
        <v>16</v>
      </c>
      <c r="D39" s="32" t="s">
        <v>104</v>
      </c>
      <c r="E39" s="13">
        <v>5.0053</v>
      </c>
      <c r="F39" s="13">
        <v>23.9</v>
      </c>
      <c r="G39" s="19">
        <f t="shared" si="1"/>
        <v>4.822687951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>
      <c r="A40" s="11" t="s">
        <v>13</v>
      </c>
      <c r="B40" s="13" t="s">
        <v>23</v>
      </c>
      <c r="C40" s="14" t="s">
        <v>16</v>
      </c>
      <c r="D40" s="32" t="s">
        <v>104</v>
      </c>
      <c r="E40" s="13">
        <v>5.0042</v>
      </c>
      <c r="F40" s="13">
        <v>26.7</v>
      </c>
      <c r="G40" s="19">
        <f t="shared" si="1"/>
        <v>5.388873346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11" t="s">
        <v>13</v>
      </c>
      <c r="B41" s="13" t="s">
        <v>24</v>
      </c>
      <c r="C41" s="14" t="s">
        <v>25</v>
      </c>
      <c r="D41" s="32" t="s">
        <v>104</v>
      </c>
      <c r="E41" s="13">
        <v>5.0072</v>
      </c>
      <c r="F41" s="13">
        <v>21.9</v>
      </c>
      <c r="G41" s="19">
        <f t="shared" si="1"/>
        <v>4.417438888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>
      <c r="A42" s="11" t="s">
        <v>13</v>
      </c>
      <c r="B42" s="13" t="s">
        <v>28</v>
      </c>
      <c r="C42" s="14" t="s">
        <v>25</v>
      </c>
      <c r="D42" s="32" t="s">
        <v>104</v>
      </c>
      <c r="E42" s="13">
        <v>5.0056</v>
      </c>
      <c r="F42" s="13">
        <v>21.5</v>
      </c>
      <c r="G42" s="19">
        <f t="shared" si="1"/>
        <v>4.338141282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>
      <c r="A43" s="11" t="s">
        <v>13</v>
      </c>
      <c r="B43" s="13" t="s">
        <v>30</v>
      </c>
      <c r="C43" s="14" t="s">
        <v>25</v>
      </c>
      <c r="D43" s="32" t="s">
        <v>104</v>
      </c>
      <c r="E43" s="13">
        <v>5.0019</v>
      </c>
      <c r="F43" s="13">
        <v>22.3</v>
      </c>
      <c r="G43" s="19">
        <f t="shared" si="1"/>
        <v>4.502888902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>
      <c r="A44" s="11" t="s">
        <v>13</v>
      </c>
      <c r="B44" s="13" t="s">
        <v>32</v>
      </c>
      <c r="C44" s="14" t="s">
        <v>34</v>
      </c>
      <c r="D44" s="32" t="s">
        <v>104</v>
      </c>
      <c r="E44" s="13">
        <v>5.0031</v>
      </c>
      <c r="F44" s="13">
        <v>21.9</v>
      </c>
      <c r="G44" s="19">
        <f t="shared" si="1"/>
        <v>4.421058943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>
      <c r="A45" s="11" t="s">
        <v>13</v>
      </c>
      <c r="B45" s="13" t="s">
        <v>36</v>
      </c>
      <c r="C45" s="14" t="s">
        <v>34</v>
      </c>
      <c r="D45" s="32" t="s">
        <v>104</v>
      </c>
      <c r="E45" s="13">
        <v>5.0029</v>
      </c>
      <c r="F45" s="13">
        <v>22.9</v>
      </c>
      <c r="G45" s="19">
        <f t="shared" si="1"/>
        <v>4.623118591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>
      <c r="A46" s="11" t="s">
        <v>13</v>
      </c>
      <c r="B46" s="13" t="s">
        <v>41</v>
      </c>
      <c r="C46" s="14" t="s">
        <v>34</v>
      </c>
      <c r="D46" s="32" t="s">
        <v>104</v>
      </c>
      <c r="E46" s="13">
        <v>5.0028</v>
      </c>
      <c r="F46" s="13">
        <v>22.1</v>
      </c>
      <c r="G46" s="19">
        <f t="shared" si="1"/>
        <v>4.461701447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>
      <c r="A47" s="11" t="s">
        <v>13</v>
      </c>
      <c r="B47" s="13" t="s">
        <v>43</v>
      </c>
      <c r="C47" s="14" t="s">
        <v>40</v>
      </c>
      <c r="D47" s="32" t="s">
        <v>104</v>
      </c>
      <c r="E47" s="13">
        <v>5.0043</v>
      </c>
      <c r="F47" s="13">
        <v>24.8</v>
      </c>
      <c r="G47" s="19">
        <f t="shared" si="1"/>
        <v>5.005295446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>
      <c r="A48" s="11" t="s">
        <v>13</v>
      </c>
      <c r="B48" s="13" t="s">
        <v>46</v>
      </c>
      <c r="C48" s="14" t="s">
        <v>40</v>
      </c>
      <c r="D48" s="32" t="s">
        <v>104</v>
      </c>
      <c r="E48" s="13">
        <v>5.0057</v>
      </c>
      <c r="F48" s="13">
        <v>19.8</v>
      </c>
      <c r="G48" s="19">
        <f t="shared" si="1"/>
        <v>3.995045648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>
      <c r="A49" s="11" t="s">
        <v>13</v>
      </c>
      <c r="B49" s="13" t="s">
        <v>47</v>
      </c>
      <c r="C49" s="14" t="s">
        <v>40</v>
      </c>
      <c r="D49" s="32" t="s">
        <v>104</v>
      </c>
      <c r="E49" s="13">
        <v>5.0067</v>
      </c>
      <c r="F49" s="13">
        <v>19.0</v>
      </c>
      <c r="G49" s="19">
        <f t="shared" si="1"/>
        <v>3.832863962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9.75"/>
    <col customWidth="1" min="3" max="3" width="39.75"/>
    <col customWidth="1" min="4" max="4" width="8.63"/>
    <col customWidth="1" min="5" max="5" width="11.25"/>
    <col customWidth="1" min="6" max="6" width="8.0"/>
    <col customWidth="1" min="7" max="7" width="7.5"/>
    <col customWidth="1" min="8" max="8" width="11.5"/>
    <col customWidth="1" min="9" max="9" width="8.5"/>
  </cols>
  <sheetData>
    <row r="1">
      <c r="A1" s="2" t="s">
        <v>0</v>
      </c>
      <c r="B1" s="4" t="s">
        <v>1</v>
      </c>
      <c r="C1" s="6" t="s">
        <v>2</v>
      </c>
      <c r="D1" s="6" t="s">
        <v>3</v>
      </c>
      <c r="E1" s="7" t="s">
        <v>7</v>
      </c>
      <c r="F1" s="7" t="s">
        <v>8</v>
      </c>
      <c r="G1" s="7" t="s">
        <v>9</v>
      </c>
      <c r="H1" s="7" t="s">
        <v>10</v>
      </c>
      <c r="I1" s="9" t="s">
        <v>11</v>
      </c>
    </row>
    <row r="2">
      <c r="A2" s="10" t="s">
        <v>12</v>
      </c>
      <c r="B2" s="12" t="s">
        <v>14</v>
      </c>
      <c r="C2" s="14" t="s">
        <v>16</v>
      </c>
      <c r="D2" s="15" t="s">
        <v>17</v>
      </c>
      <c r="E2" s="16">
        <v>31.7856</v>
      </c>
      <c r="F2" s="16">
        <v>6.0413</v>
      </c>
      <c r="G2" s="12">
        <f t="shared" ref="G2:G59" si="1">SUM(E2:F2)</f>
        <v>37.8269</v>
      </c>
      <c r="H2" s="16">
        <v>37.1938</v>
      </c>
      <c r="I2" s="16">
        <f t="shared" ref="I2:I59" si="2">(100*(G2-H2)/(F2))</f>
        <v>10.47953255</v>
      </c>
    </row>
    <row r="3">
      <c r="A3" s="23" t="s">
        <v>12</v>
      </c>
      <c r="B3" s="24" t="s">
        <v>22</v>
      </c>
      <c r="C3" s="14" t="s">
        <v>16</v>
      </c>
      <c r="D3" s="26" t="s">
        <v>17</v>
      </c>
      <c r="E3" s="27">
        <v>36.0143</v>
      </c>
      <c r="F3" s="27">
        <v>6.0301</v>
      </c>
      <c r="G3" s="24">
        <f t="shared" si="1"/>
        <v>42.0444</v>
      </c>
      <c r="H3" s="27">
        <v>41.4122</v>
      </c>
      <c r="I3" s="27">
        <f t="shared" si="2"/>
        <v>10.48407157</v>
      </c>
    </row>
    <row r="4">
      <c r="A4" s="23" t="s">
        <v>12</v>
      </c>
      <c r="B4" s="24" t="s">
        <v>26</v>
      </c>
      <c r="C4" s="14" t="s">
        <v>16</v>
      </c>
      <c r="D4" s="26" t="s">
        <v>17</v>
      </c>
      <c r="E4" s="27">
        <v>27.3675</v>
      </c>
      <c r="F4" s="27">
        <v>6.019</v>
      </c>
      <c r="G4" s="24">
        <f t="shared" si="1"/>
        <v>33.3865</v>
      </c>
      <c r="H4" s="27">
        <v>32.7631</v>
      </c>
      <c r="I4" s="27">
        <f t="shared" si="2"/>
        <v>10.35720219</v>
      </c>
    </row>
    <row r="5">
      <c r="A5" s="23" t="s">
        <v>12</v>
      </c>
      <c r="B5" s="24" t="s">
        <v>27</v>
      </c>
      <c r="C5" s="14" t="s">
        <v>25</v>
      </c>
      <c r="D5" s="26" t="s">
        <v>17</v>
      </c>
      <c r="E5" s="27">
        <v>24.3235</v>
      </c>
      <c r="F5" s="27">
        <v>6.0417</v>
      </c>
      <c r="G5" s="24">
        <f t="shared" si="1"/>
        <v>30.3652</v>
      </c>
      <c r="H5" s="27">
        <v>29.803</v>
      </c>
      <c r="I5" s="27">
        <f t="shared" si="2"/>
        <v>9.305327971</v>
      </c>
    </row>
    <row r="6">
      <c r="A6" s="23" t="s">
        <v>12</v>
      </c>
      <c r="B6" s="24" t="s">
        <v>29</v>
      </c>
      <c r="C6" s="14" t="s">
        <v>25</v>
      </c>
      <c r="D6" s="26" t="s">
        <v>17</v>
      </c>
      <c r="E6" s="27">
        <v>16.3645</v>
      </c>
      <c r="F6" s="27">
        <v>6.0112</v>
      </c>
      <c r="G6" s="24">
        <f t="shared" si="1"/>
        <v>22.3757</v>
      </c>
      <c r="H6" s="27">
        <v>21.8231</v>
      </c>
      <c r="I6" s="27">
        <f t="shared" si="2"/>
        <v>9.192840032</v>
      </c>
    </row>
    <row r="7">
      <c r="A7" s="23" t="s">
        <v>12</v>
      </c>
      <c r="B7" s="24" t="s">
        <v>31</v>
      </c>
      <c r="C7" s="14" t="s">
        <v>25</v>
      </c>
      <c r="D7" s="26" t="s">
        <v>17</v>
      </c>
      <c r="E7" s="27">
        <v>26.3813</v>
      </c>
      <c r="F7" s="27">
        <v>6.0136</v>
      </c>
      <c r="G7" s="24">
        <f t="shared" si="1"/>
        <v>32.3949</v>
      </c>
      <c r="H7" s="27">
        <v>31.8354</v>
      </c>
      <c r="I7" s="27">
        <f t="shared" si="2"/>
        <v>9.303911135</v>
      </c>
    </row>
    <row r="8">
      <c r="A8" s="23" t="s">
        <v>12</v>
      </c>
      <c r="B8" s="24" t="s">
        <v>33</v>
      </c>
      <c r="C8" s="14" t="s">
        <v>34</v>
      </c>
      <c r="D8" s="26" t="s">
        <v>17</v>
      </c>
      <c r="E8" s="27">
        <v>34.2302</v>
      </c>
      <c r="F8" s="27">
        <v>6.0252</v>
      </c>
      <c r="G8" s="24">
        <f t="shared" si="1"/>
        <v>40.2554</v>
      </c>
      <c r="H8" s="27">
        <v>39.6597</v>
      </c>
      <c r="I8" s="27">
        <f t="shared" si="2"/>
        <v>9.886808737</v>
      </c>
    </row>
    <row r="9">
      <c r="A9" s="23" t="s">
        <v>12</v>
      </c>
      <c r="B9" s="24" t="s">
        <v>35</v>
      </c>
      <c r="C9" s="14" t="s">
        <v>34</v>
      </c>
      <c r="D9" s="26" t="s">
        <v>17</v>
      </c>
      <c r="E9" s="27">
        <v>32.121</v>
      </c>
      <c r="F9" s="27">
        <v>6.0012</v>
      </c>
      <c r="G9" s="24">
        <f t="shared" si="1"/>
        <v>38.1222</v>
      </c>
      <c r="H9" s="27">
        <v>37.5231</v>
      </c>
      <c r="I9" s="27">
        <f t="shared" si="2"/>
        <v>9.983003399</v>
      </c>
    </row>
    <row r="10">
      <c r="A10" s="23" t="s">
        <v>12</v>
      </c>
      <c r="B10" s="24" t="s">
        <v>37</v>
      </c>
      <c r="C10" s="14" t="s">
        <v>34</v>
      </c>
      <c r="D10" s="26" t="s">
        <v>17</v>
      </c>
      <c r="E10" s="27">
        <v>28.6469</v>
      </c>
      <c r="F10" s="27">
        <v>6.0172</v>
      </c>
      <c r="G10" s="24">
        <f t="shared" si="1"/>
        <v>34.6641</v>
      </c>
      <c r="H10" s="27">
        <v>34.0705</v>
      </c>
      <c r="I10" s="27">
        <f t="shared" si="2"/>
        <v>9.865053513</v>
      </c>
    </row>
    <row r="11">
      <c r="A11" s="23" t="s">
        <v>12</v>
      </c>
      <c r="B11" s="24" t="s">
        <v>39</v>
      </c>
      <c r="C11" s="14" t="s">
        <v>40</v>
      </c>
      <c r="D11" s="26" t="s">
        <v>17</v>
      </c>
      <c r="E11" s="27">
        <v>34.5822</v>
      </c>
      <c r="F11" s="27">
        <v>6.0056</v>
      </c>
      <c r="G11" s="24">
        <f t="shared" si="1"/>
        <v>40.5878</v>
      </c>
      <c r="H11" s="27">
        <v>40.013</v>
      </c>
      <c r="I11" s="27">
        <f t="shared" si="2"/>
        <v>9.571067004</v>
      </c>
    </row>
    <row r="12">
      <c r="A12" s="23" t="s">
        <v>12</v>
      </c>
      <c r="B12" s="24" t="s">
        <v>42</v>
      </c>
      <c r="C12" s="14" t="s">
        <v>40</v>
      </c>
      <c r="D12" s="26" t="s">
        <v>17</v>
      </c>
      <c r="E12" s="27">
        <v>23.8277</v>
      </c>
      <c r="F12" s="27">
        <v>6.0492</v>
      </c>
      <c r="G12" s="24">
        <f t="shared" si="1"/>
        <v>29.8769</v>
      </c>
      <c r="H12" s="27">
        <v>29.3011</v>
      </c>
      <c r="I12" s="27">
        <f t="shared" si="2"/>
        <v>9.518614032</v>
      </c>
    </row>
    <row r="13">
      <c r="A13" s="28" t="s">
        <v>12</v>
      </c>
      <c r="B13" s="29" t="s">
        <v>44</v>
      </c>
      <c r="C13" s="14" t="s">
        <v>40</v>
      </c>
      <c r="D13" s="30" t="s">
        <v>17</v>
      </c>
      <c r="E13" s="31">
        <v>36.7714</v>
      </c>
      <c r="F13" s="31">
        <v>5.8875</v>
      </c>
      <c r="G13" s="29">
        <f t="shared" si="1"/>
        <v>42.6589</v>
      </c>
      <c r="H13" s="31">
        <v>42.1033</v>
      </c>
      <c r="I13" s="31">
        <f t="shared" si="2"/>
        <v>9.436942675</v>
      </c>
    </row>
    <row r="14">
      <c r="A14" s="10" t="s">
        <v>12</v>
      </c>
      <c r="B14" s="12" t="s">
        <v>49</v>
      </c>
      <c r="C14" s="14" t="s">
        <v>16</v>
      </c>
      <c r="D14" s="15" t="s">
        <v>50</v>
      </c>
      <c r="E14" s="16">
        <v>34.218</v>
      </c>
      <c r="F14" s="16">
        <v>10.066</v>
      </c>
      <c r="G14" s="12">
        <f t="shared" si="1"/>
        <v>44.284</v>
      </c>
      <c r="H14" s="16">
        <v>43.182</v>
      </c>
      <c r="I14" s="16">
        <f t="shared" si="2"/>
        <v>10.94774488</v>
      </c>
    </row>
    <row r="15">
      <c r="A15" s="23" t="s">
        <v>12</v>
      </c>
      <c r="B15" s="24" t="s">
        <v>51</v>
      </c>
      <c r="C15" s="14" t="s">
        <v>16</v>
      </c>
      <c r="D15" s="26" t="s">
        <v>52</v>
      </c>
      <c r="E15" s="27">
        <v>34.195</v>
      </c>
      <c r="F15" s="27">
        <v>10.016</v>
      </c>
      <c r="G15" s="24">
        <f t="shared" si="1"/>
        <v>44.211</v>
      </c>
      <c r="H15" s="27">
        <v>43.139</v>
      </c>
      <c r="I15" s="27">
        <f t="shared" si="2"/>
        <v>10.7028754</v>
      </c>
    </row>
    <row r="16">
      <c r="A16" s="23" t="s">
        <v>12</v>
      </c>
      <c r="B16" s="24" t="s">
        <v>54</v>
      </c>
      <c r="C16" s="14" t="s">
        <v>25</v>
      </c>
      <c r="D16" s="15" t="s">
        <v>50</v>
      </c>
      <c r="E16" s="27">
        <v>26.92</v>
      </c>
      <c r="F16" s="27">
        <v>10.015</v>
      </c>
      <c r="G16" s="24">
        <f t="shared" si="1"/>
        <v>36.935</v>
      </c>
      <c r="H16" s="27">
        <v>35.96</v>
      </c>
      <c r="I16" s="27">
        <f t="shared" si="2"/>
        <v>9.735396905</v>
      </c>
    </row>
    <row r="17">
      <c r="A17" s="23" t="s">
        <v>12</v>
      </c>
      <c r="B17" s="24" t="s">
        <v>56</v>
      </c>
      <c r="C17" s="14" t="s">
        <v>25</v>
      </c>
      <c r="D17" s="26" t="s">
        <v>50</v>
      </c>
      <c r="E17" s="27">
        <v>32.892</v>
      </c>
      <c r="F17" s="27">
        <v>10.032</v>
      </c>
      <c r="G17" s="24">
        <f t="shared" si="1"/>
        <v>42.924</v>
      </c>
      <c r="H17" s="27">
        <v>41.952</v>
      </c>
      <c r="I17" s="27">
        <f t="shared" si="2"/>
        <v>9.688995215</v>
      </c>
    </row>
    <row r="18">
      <c r="A18" s="23" t="s">
        <v>12</v>
      </c>
      <c r="B18" s="24" t="s">
        <v>57</v>
      </c>
      <c r="C18" s="14" t="s">
        <v>25</v>
      </c>
      <c r="D18" s="26" t="s">
        <v>52</v>
      </c>
      <c r="E18" s="27">
        <v>25.061</v>
      </c>
      <c r="F18" s="27">
        <v>10.051</v>
      </c>
      <c r="G18" s="24">
        <f t="shared" si="1"/>
        <v>35.112</v>
      </c>
      <c r="H18" s="27">
        <v>34.132</v>
      </c>
      <c r="I18" s="27">
        <f t="shared" si="2"/>
        <v>9.750273605</v>
      </c>
    </row>
    <row r="19">
      <c r="A19" s="23" t="s">
        <v>12</v>
      </c>
      <c r="B19" s="24" t="s">
        <v>59</v>
      </c>
      <c r="C19" s="14" t="s">
        <v>34</v>
      </c>
      <c r="D19" s="15" t="s">
        <v>50</v>
      </c>
      <c r="E19" s="27">
        <v>19.411</v>
      </c>
      <c r="F19" s="27">
        <v>10.049</v>
      </c>
      <c r="G19" s="24">
        <f t="shared" si="1"/>
        <v>29.46</v>
      </c>
      <c r="H19" s="27">
        <v>28.459</v>
      </c>
      <c r="I19" s="27">
        <f t="shared" si="2"/>
        <v>9.961190168</v>
      </c>
    </row>
    <row r="20">
      <c r="A20" s="23" t="s">
        <v>12</v>
      </c>
      <c r="B20" s="24" t="s">
        <v>60</v>
      </c>
      <c r="C20" s="14" t="s">
        <v>34</v>
      </c>
      <c r="D20" s="26" t="s">
        <v>50</v>
      </c>
      <c r="E20" s="27">
        <v>23.825</v>
      </c>
      <c r="F20" s="27">
        <v>10.002</v>
      </c>
      <c r="G20" s="24">
        <f t="shared" si="1"/>
        <v>33.827</v>
      </c>
      <c r="H20" s="27">
        <v>32.834</v>
      </c>
      <c r="I20" s="27">
        <f t="shared" si="2"/>
        <v>9.928014397</v>
      </c>
    </row>
    <row r="21">
      <c r="A21" s="23" t="s">
        <v>12</v>
      </c>
      <c r="B21" s="24" t="s">
        <v>62</v>
      </c>
      <c r="C21" s="14" t="s">
        <v>34</v>
      </c>
      <c r="D21" s="26" t="s">
        <v>52</v>
      </c>
      <c r="E21" s="27">
        <v>32.12</v>
      </c>
      <c r="F21" s="27">
        <v>10.003</v>
      </c>
      <c r="G21" s="24">
        <f t="shared" si="1"/>
        <v>42.123</v>
      </c>
      <c r="H21" s="27">
        <v>41.138</v>
      </c>
      <c r="I21" s="27">
        <f t="shared" si="2"/>
        <v>9.847045886</v>
      </c>
    </row>
    <row r="22">
      <c r="A22" s="23" t="s">
        <v>12</v>
      </c>
      <c r="B22" s="24" t="s">
        <v>63</v>
      </c>
      <c r="C22" s="14" t="s">
        <v>40</v>
      </c>
      <c r="D22" s="15" t="s">
        <v>50</v>
      </c>
      <c r="E22" s="27">
        <v>35.392</v>
      </c>
      <c r="F22" s="27">
        <v>10.02</v>
      </c>
      <c r="G22" s="24">
        <f t="shared" si="1"/>
        <v>45.412</v>
      </c>
      <c r="H22" s="27">
        <v>44.461</v>
      </c>
      <c r="I22" s="27">
        <f t="shared" si="2"/>
        <v>9.491017964</v>
      </c>
    </row>
    <row r="23">
      <c r="A23" s="23" t="s">
        <v>12</v>
      </c>
      <c r="B23" s="24" t="s">
        <v>66</v>
      </c>
      <c r="C23" s="14" t="s">
        <v>40</v>
      </c>
      <c r="D23" s="26" t="s">
        <v>50</v>
      </c>
      <c r="E23" s="27">
        <v>19.437</v>
      </c>
      <c r="F23" s="27">
        <v>10.025</v>
      </c>
      <c r="G23" s="24">
        <f t="shared" si="1"/>
        <v>29.462</v>
      </c>
      <c r="H23" s="27">
        <v>28.487</v>
      </c>
      <c r="I23" s="27">
        <f t="shared" si="2"/>
        <v>9.725685786</v>
      </c>
    </row>
    <row r="24">
      <c r="A24" s="28" t="s">
        <v>12</v>
      </c>
      <c r="B24" s="29" t="s">
        <v>67</v>
      </c>
      <c r="C24" s="14" t="s">
        <v>40</v>
      </c>
      <c r="D24" s="30" t="s">
        <v>52</v>
      </c>
      <c r="E24" s="31">
        <v>17.657</v>
      </c>
      <c r="F24" s="31">
        <v>10.009</v>
      </c>
      <c r="G24" s="29">
        <f t="shared" si="1"/>
        <v>27.666</v>
      </c>
      <c r="H24" s="31">
        <v>26.71</v>
      </c>
      <c r="I24" s="31">
        <f t="shared" si="2"/>
        <v>9.551403737</v>
      </c>
    </row>
    <row r="25">
      <c r="A25" s="10" t="s">
        <v>12</v>
      </c>
      <c r="B25" s="12" t="s">
        <v>68</v>
      </c>
      <c r="C25" s="14" t="s">
        <v>16</v>
      </c>
      <c r="D25" s="33" t="s">
        <v>53</v>
      </c>
      <c r="E25" s="27">
        <v>52.2054</v>
      </c>
      <c r="F25" s="27">
        <v>6.0348</v>
      </c>
      <c r="G25" s="24">
        <f t="shared" si="1"/>
        <v>58.2402</v>
      </c>
      <c r="H25" s="27">
        <v>57.6399</v>
      </c>
      <c r="I25" s="27">
        <f t="shared" si="2"/>
        <v>9.947305627</v>
      </c>
    </row>
    <row r="26">
      <c r="A26" s="23" t="s">
        <v>12</v>
      </c>
      <c r="B26" s="24" t="s">
        <v>70</v>
      </c>
      <c r="C26" s="14" t="s">
        <v>16</v>
      </c>
      <c r="D26" s="33" t="s">
        <v>53</v>
      </c>
      <c r="E26" s="27">
        <v>63.4473</v>
      </c>
      <c r="F26" s="27">
        <v>6.0145</v>
      </c>
      <c r="G26" s="24">
        <f t="shared" si="1"/>
        <v>69.4618</v>
      </c>
      <c r="H26" s="27">
        <v>68.8592</v>
      </c>
      <c r="I26" s="27">
        <f t="shared" si="2"/>
        <v>10.01912046</v>
      </c>
    </row>
    <row r="27">
      <c r="A27" s="23" t="s">
        <v>12</v>
      </c>
      <c r="B27" s="24" t="s">
        <v>72</v>
      </c>
      <c r="C27" s="14" t="s">
        <v>16</v>
      </c>
      <c r="D27" s="33" t="s">
        <v>53</v>
      </c>
      <c r="E27" s="27">
        <v>48.4919</v>
      </c>
      <c r="F27" s="27">
        <v>6.0607</v>
      </c>
      <c r="G27" s="24">
        <f t="shared" si="1"/>
        <v>54.5526</v>
      </c>
      <c r="H27" s="27">
        <v>53.9491</v>
      </c>
      <c r="I27" s="27">
        <f t="shared" si="2"/>
        <v>9.957595657</v>
      </c>
    </row>
    <row r="28">
      <c r="A28" s="23" t="s">
        <v>12</v>
      </c>
      <c r="B28" s="24" t="s">
        <v>73</v>
      </c>
      <c r="C28" s="14" t="s">
        <v>25</v>
      </c>
      <c r="D28" s="33" t="s">
        <v>53</v>
      </c>
      <c r="E28" s="27">
        <v>59.3043</v>
      </c>
      <c r="F28" s="27">
        <v>6.0214</v>
      </c>
      <c r="G28" s="24">
        <f t="shared" si="1"/>
        <v>65.3257</v>
      </c>
      <c r="H28" s="27">
        <v>64.7718</v>
      </c>
      <c r="I28" s="27">
        <f t="shared" si="2"/>
        <v>9.198857409</v>
      </c>
    </row>
    <row r="29">
      <c r="A29" s="23" t="s">
        <v>12</v>
      </c>
      <c r="B29" s="24" t="s">
        <v>74</v>
      </c>
      <c r="C29" s="14" t="s">
        <v>25</v>
      </c>
      <c r="D29" s="33" t="s">
        <v>53</v>
      </c>
      <c r="E29" s="27">
        <v>47.1975</v>
      </c>
      <c r="F29" s="27">
        <v>6.0103</v>
      </c>
      <c r="G29" s="24">
        <f t="shared" si="1"/>
        <v>53.2078</v>
      </c>
      <c r="H29" s="27">
        <v>52.6461</v>
      </c>
      <c r="I29" s="27">
        <f t="shared" si="2"/>
        <v>9.345623347</v>
      </c>
    </row>
    <row r="30">
      <c r="A30" s="23" t="s">
        <v>12</v>
      </c>
      <c r="B30" s="24" t="s">
        <v>76</v>
      </c>
      <c r="C30" s="14" t="s">
        <v>25</v>
      </c>
      <c r="D30" s="33" t="s">
        <v>53</v>
      </c>
      <c r="E30" s="27">
        <v>54.3982</v>
      </c>
      <c r="F30" s="27">
        <v>6.0365</v>
      </c>
      <c r="G30" s="24">
        <f t="shared" si="1"/>
        <v>60.4347</v>
      </c>
      <c r="H30" s="27">
        <v>59.8827</v>
      </c>
      <c r="I30" s="27">
        <f t="shared" si="2"/>
        <v>9.144371739</v>
      </c>
    </row>
    <row r="31">
      <c r="A31" s="23" t="s">
        <v>12</v>
      </c>
      <c r="B31" s="24" t="s">
        <v>77</v>
      </c>
      <c r="C31" s="14" t="s">
        <v>34</v>
      </c>
      <c r="D31" s="33" t="s">
        <v>53</v>
      </c>
      <c r="E31" s="27">
        <v>68.5302</v>
      </c>
      <c r="F31" s="27">
        <v>6.0288</v>
      </c>
      <c r="G31" s="24">
        <f t="shared" si="1"/>
        <v>74.559</v>
      </c>
      <c r="H31" s="27">
        <v>73.9707</v>
      </c>
      <c r="I31" s="27">
        <f t="shared" si="2"/>
        <v>9.758160828</v>
      </c>
    </row>
    <row r="32">
      <c r="A32" s="23" t="s">
        <v>12</v>
      </c>
      <c r="B32" s="24" t="s">
        <v>78</v>
      </c>
      <c r="C32" s="14" t="s">
        <v>34</v>
      </c>
      <c r="D32" s="33" t="s">
        <v>53</v>
      </c>
      <c r="E32" s="27">
        <v>54.1982</v>
      </c>
      <c r="F32" s="27">
        <v>6.0056</v>
      </c>
      <c r="G32" s="24">
        <f t="shared" si="1"/>
        <v>60.2038</v>
      </c>
      <c r="H32" s="27">
        <v>59.6151</v>
      </c>
      <c r="I32" s="27">
        <f t="shared" si="2"/>
        <v>9.80251765</v>
      </c>
    </row>
    <row r="33">
      <c r="A33" s="23" t="s">
        <v>12</v>
      </c>
      <c r="B33" s="24" t="s">
        <v>79</v>
      </c>
      <c r="C33" s="14" t="s">
        <v>34</v>
      </c>
      <c r="D33" s="33" t="s">
        <v>53</v>
      </c>
      <c r="E33" s="27">
        <v>33.4027</v>
      </c>
      <c r="F33" s="27">
        <v>6.112</v>
      </c>
      <c r="G33" s="24">
        <f t="shared" si="1"/>
        <v>39.5147</v>
      </c>
      <c r="H33" s="27">
        <v>38.83</v>
      </c>
      <c r="I33" s="27">
        <f t="shared" si="2"/>
        <v>11.20255236</v>
      </c>
    </row>
    <row r="34">
      <c r="A34" s="23" t="s">
        <v>12</v>
      </c>
      <c r="B34" s="24" t="s">
        <v>81</v>
      </c>
      <c r="C34" s="14" t="s">
        <v>40</v>
      </c>
      <c r="D34" s="33" t="s">
        <v>53</v>
      </c>
      <c r="E34" s="27">
        <v>63.473</v>
      </c>
      <c r="F34" s="27">
        <v>6.0055</v>
      </c>
      <c r="G34" s="24">
        <f t="shared" si="1"/>
        <v>69.4785</v>
      </c>
      <c r="H34" s="27">
        <v>68.9207</v>
      </c>
      <c r="I34" s="27">
        <f t="shared" si="2"/>
        <v>9.288152527</v>
      </c>
    </row>
    <row r="35">
      <c r="A35" s="23" t="s">
        <v>12</v>
      </c>
      <c r="B35" s="24" t="s">
        <v>82</v>
      </c>
      <c r="C35" s="14" t="s">
        <v>40</v>
      </c>
      <c r="D35" s="33" t="s">
        <v>53</v>
      </c>
      <c r="E35" s="27">
        <v>48.8259</v>
      </c>
      <c r="F35" s="27">
        <v>6.0249</v>
      </c>
      <c r="G35" s="24">
        <f t="shared" si="1"/>
        <v>54.8508</v>
      </c>
      <c r="H35" s="27">
        <v>54.284</v>
      </c>
      <c r="I35" s="27">
        <f t="shared" si="2"/>
        <v>9.407625023</v>
      </c>
    </row>
    <row r="36">
      <c r="A36" s="28" t="s">
        <v>12</v>
      </c>
      <c r="B36" s="29" t="s">
        <v>83</v>
      </c>
      <c r="C36" s="14" t="s">
        <v>40</v>
      </c>
      <c r="D36" s="37" t="s">
        <v>53</v>
      </c>
      <c r="E36" s="31">
        <v>68.3788</v>
      </c>
      <c r="F36" s="31">
        <v>6.0265</v>
      </c>
      <c r="G36" s="29">
        <f t="shared" si="1"/>
        <v>74.4053</v>
      </c>
      <c r="H36" s="31">
        <v>73.8496</v>
      </c>
      <c r="I36" s="31">
        <f t="shared" si="2"/>
        <v>9.220940845</v>
      </c>
    </row>
    <row r="37">
      <c r="A37" s="10" t="s">
        <v>12</v>
      </c>
      <c r="B37" s="12" t="s">
        <v>84</v>
      </c>
      <c r="C37" s="14" t="s">
        <v>16</v>
      </c>
      <c r="D37" s="39" t="s">
        <v>86</v>
      </c>
      <c r="E37" s="27">
        <v>54.8441</v>
      </c>
      <c r="F37" s="27">
        <v>6.0253</v>
      </c>
      <c r="G37" s="24">
        <f t="shared" si="1"/>
        <v>60.8694</v>
      </c>
      <c r="H37" s="27">
        <v>60.2805</v>
      </c>
      <c r="I37" s="27">
        <f t="shared" si="2"/>
        <v>9.773787197</v>
      </c>
    </row>
    <row r="38">
      <c r="A38" s="23" t="s">
        <v>12</v>
      </c>
      <c r="B38" s="24" t="s">
        <v>87</v>
      </c>
      <c r="C38" s="14" t="s">
        <v>16</v>
      </c>
      <c r="D38" s="40" t="s">
        <v>86</v>
      </c>
      <c r="E38" s="27">
        <v>68.3757</v>
      </c>
      <c r="F38" s="27">
        <v>6.0262</v>
      </c>
      <c r="G38" s="24">
        <f t="shared" si="1"/>
        <v>74.4019</v>
      </c>
      <c r="H38" s="27">
        <v>73.8117</v>
      </c>
      <c r="I38" s="27">
        <f t="shared" si="2"/>
        <v>9.79389997</v>
      </c>
    </row>
    <row r="39">
      <c r="A39" s="23" t="s">
        <v>12</v>
      </c>
      <c r="B39" s="24" t="s">
        <v>89</v>
      </c>
      <c r="C39" s="14" t="s">
        <v>16</v>
      </c>
      <c r="D39" s="40" t="s">
        <v>86</v>
      </c>
      <c r="E39" s="27">
        <v>47.1972</v>
      </c>
      <c r="F39" s="27">
        <v>6.025</v>
      </c>
      <c r="G39" s="24">
        <f t="shared" si="1"/>
        <v>53.2222</v>
      </c>
      <c r="H39" s="27">
        <v>52.6126</v>
      </c>
      <c r="I39" s="27">
        <f t="shared" si="2"/>
        <v>10.11784232</v>
      </c>
    </row>
    <row r="40">
      <c r="A40" s="23" t="s">
        <v>12</v>
      </c>
      <c r="B40" s="24" t="s">
        <v>91</v>
      </c>
      <c r="C40" s="14" t="s">
        <v>25</v>
      </c>
      <c r="D40" s="40" t="s">
        <v>86</v>
      </c>
      <c r="E40" s="27">
        <v>54.3986</v>
      </c>
      <c r="F40" s="27">
        <v>6.052</v>
      </c>
      <c r="G40" s="24">
        <f t="shared" si="1"/>
        <v>60.4506</v>
      </c>
      <c r="H40" s="27">
        <v>59.9065</v>
      </c>
      <c r="I40" s="27">
        <f t="shared" si="2"/>
        <v>8.990416391</v>
      </c>
    </row>
    <row r="41">
      <c r="A41" s="23" t="s">
        <v>12</v>
      </c>
      <c r="B41" s="24" t="s">
        <v>93</v>
      </c>
      <c r="C41" s="14" t="s">
        <v>25</v>
      </c>
      <c r="D41" s="40" t="s">
        <v>86</v>
      </c>
      <c r="E41" s="27">
        <v>36.771</v>
      </c>
      <c r="F41" s="27">
        <v>6.0574</v>
      </c>
      <c r="G41" s="24">
        <f t="shared" si="1"/>
        <v>42.8284</v>
      </c>
      <c r="H41" s="27">
        <v>42.2792</v>
      </c>
      <c r="I41" s="27">
        <f t="shared" si="2"/>
        <v>9.066596229</v>
      </c>
    </row>
    <row r="42">
      <c r="A42" s="23" t="s">
        <v>12</v>
      </c>
      <c r="B42" s="24" t="s">
        <v>95</v>
      </c>
      <c r="C42" s="14" t="s">
        <v>25</v>
      </c>
      <c r="D42" s="40" t="s">
        <v>86</v>
      </c>
      <c r="E42" s="27">
        <v>33.4034</v>
      </c>
      <c r="F42" s="27">
        <v>6.0178</v>
      </c>
      <c r="G42" s="24">
        <f t="shared" si="1"/>
        <v>39.4212</v>
      </c>
      <c r="H42" s="27">
        <v>38.8813</v>
      </c>
      <c r="I42" s="27">
        <f t="shared" si="2"/>
        <v>8.971717239</v>
      </c>
    </row>
    <row r="43">
      <c r="A43" s="23" t="s">
        <v>12</v>
      </c>
      <c r="B43" s="24" t="s">
        <v>59</v>
      </c>
      <c r="C43" s="14" t="s">
        <v>34</v>
      </c>
      <c r="D43" s="40" t="s">
        <v>86</v>
      </c>
      <c r="E43" s="27">
        <v>58.4369</v>
      </c>
      <c r="F43" s="27">
        <v>6.0333</v>
      </c>
      <c r="G43" s="24">
        <f t="shared" si="1"/>
        <v>64.4702</v>
      </c>
      <c r="H43" s="27">
        <v>63.9074</v>
      </c>
      <c r="I43" s="27">
        <f t="shared" si="2"/>
        <v>9.328228333</v>
      </c>
    </row>
    <row r="44">
      <c r="A44" s="23" t="s">
        <v>12</v>
      </c>
      <c r="B44" s="24" t="s">
        <v>97</v>
      </c>
      <c r="C44" s="14" t="s">
        <v>34</v>
      </c>
      <c r="D44" s="40" t="s">
        <v>86</v>
      </c>
      <c r="E44" s="27">
        <v>48.8258</v>
      </c>
      <c r="F44" s="27">
        <v>6.0048</v>
      </c>
      <c r="G44" s="24">
        <f t="shared" si="1"/>
        <v>54.8306</v>
      </c>
      <c r="H44" s="27">
        <v>54.2513</v>
      </c>
      <c r="I44" s="27">
        <f t="shared" si="2"/>
        <v>9.647282174</v>
      </c>
    </row>
    <row r="45">
      <c r="A45" s="23" t="s">
        <v>12</v>
      </c>
      <c r="B45" s="24" t="s">
        <v>98</v>
      </c>
      <c r="C45" s="14" t="s">
        <v>34</v>
      </c>
      <c r="D45" s="40" t="s">
        <v>86</v>
      </c>
      <c r="E45" s="27">
        <v>63.4524</v>
      </c>
      <c r="F45" s="27">
        <v>6.0208</v>
      </c>
      <c r="G45" s="24">
        <f t="shared" si="1"/>
        <v>69.4732</v>
      </c>
      <c r="H45" s="27">
        <v>68.9087</v>
      </c>
      <c r="I45" s="27">
        <f t="shared" si="2"/>
        <v>9.375830454</v>
      </c>
    </row>
    <row r="46">
      <c r="A46" s="23" t="s">
        <v>12</v>
      </c>
      <c r="B46" s="24" t="s">
        <v>99</v>
      </c>
      <c r="C46" s="14" t="s">
        <v>40</v>
      </c>
      <c r="D46" s="40" t="s">
        <v>86</v>
      </c>
      <c r="E46" s="27">
        <v>48.4955</v>
      </c>
      <c r="F46" s="27">
        <v>6.0116</v>
      </c>
      <c r="G46" s="24">
        <f t="shared" si="1"/>
        <v>54.5071</v>
      </c>
      <c r="H46" s="27">
        <v>53.9583</v>
      </c>
      <c r="I46" s="27">
        <f t="shared" si="2"/>
        <v>9.129017233</v>
      </c>
    </row>
    <row r="47">
      <c r="A47" s="28" t="s">
        <v>12</v>
      </c>
      <c r="B47" s="29" t="s">
        <v>101</v>
      </c>
      <c r="C47" s="14" t="s">
        <v>40</v>
      </c>
      <c r="D47" s="41" t="s">
        <v>86</v>
      </c>
      <c r="E47" s="31">
        <v>52.2127</v>
      </c>
      <c r="F47" s="31">
        <v>6.0274</v>
      </c>
      <c r="G47" s="29">
        <f t="shared" si="1"/>
        <v>58.2401</v>
      </c>
      <c r="H47" s="31">
        <v>57.6889</v>
      </c>
      <c r="I47" s="31">
        <f t="shared" si="2"/>
        <v>9.144904934</v>
      </c>
    </row>
    <row r="48">
      <c r="A48" s="28" t="s">
        <v>12</v>
      </c>
      <c r="B48" s="42" t="s">
        <v>103</v>
      </c>
      <c r="C48" s="14" t="s">
        <v>16</v>
      </c>
      <c r="D48" s="38" t="s">
        <v>104</v>
      </c>
      <c r="E48" s="43">
        <v>19.4138</v>
      </c>
      <c r="F48" s="43">
        <v>6.0012</v>
      </c>
      <c r="G48" s="44">
        <f t="shared" si="1"/>
        <v>25.415</v>
      </c>
      <c r="H48" s="43">
        <v>24.8525</v>
      </c>
      <c r="I48" s="27">
        <f t="shared" si="2"/>
        <v>9.373125375</v>
      </c>
    </row>
    <row r="49">
      <c r="A49" s="28" t="s">
        <v>12</v>
      </c>
      <c r="B49" s="42" t="s">
        <v>106</v>
      </c>
      <c r="C49" s="14" t="s">
        <v>16</v>
      </c>
      <c r="D49" s="38" t="s">
        <v>104</v>
      </c>
      <c r="E49" s="43">
        <v>36.1331</v>
      </c>
      <c r="F49" s="43">
        <v>6.0164</v>
      </c>
      <c r="G49" s="44">
        <f t="shared" si="1"/>
        <v>42.1495</v>
      </c>
      <c r="H49" s="43">
        <v>41.574</v>
      </c>
      <c r="I49" s="27">
        <f t="shared" si="2"/>
        <v>9.56552091</v>
      </c>
    </row>
    <row r="50">
      <c r="A50" s="28" t="s">
        <v>12</v>
      </c>
      <c r="B50" s="42" t="s">
        <v>107</v>
      </c>
      <c r="C50" s="14" t="s">
        <v>16</v>
      </c>
      <c r="D50" s="38" t="s">
        <v>104</v>
      </c>
      <c r="E50" s="43">
        <v>36.0152</v>
      </c>
      <c r="F50" s="43">
        <v>6.0172</v>
      </c>
      <c r="G50" s="44">
        <f t="shared" si="1"/>
        <v>42.0324</v>
      </c>
      <c r="H50" s="43">
        <v>41.453</v>
      </c>
      <c r="I50" s="27">
        <f t="shared" si="2"/>
        <v>9.629063352</v>
      </c>
    </row>
    <row r="51">
      <c r="A51" s="28" t="s">
        <v>12</v>
      </c>
      <c r="B51" s="42" t="s">
        <v>108</v>
      </c>
      <c r="C51" s="14" t="s">
        <v>25</v>
      </c>
      <c r="D51" s="38" t="s">
        <v>109</v>
      </c>
      <c r="E51" s="43">
        <v>34.5822</v>
      </c>
      <c r="F51" s="43">
        <v>6.0059</v>
      </c>
      <c r="G51" s="44">
        <f t="shared" si="1"/>
        <v>40.5881</v>
      </c>
      <c r="H51" s="43">
        <v>40.0869</v>
      </c>
      <c r="I51" s="27">
        <f t="shared" si="2"/>
        <v>8.345127291</v>
      </c>
    </row>
    <row r="52">
      <c r="A52" s="28" t="s">
        <v>12</v>
      </c>
      <c r="B52" s="42" t="s">
        <v>111</v>
      </c>
      <c r="C52" s="14" t="s">
        <v>25</v>
      </c>
      <c r="D52" s="38" t="s">
        <v>109</v>
      </c>
      <c r="E52" s="43">
        <v>23.295</v>
      </c>
      <c r="F52" s="43">
        <v>6.0026</v>
      </c>
      <c r="G52" s="44">
        <f t="shared" si="1"/>
        <v>29.2976</v>
      </c>
      <c r="H52" s="43">
        <v>28.7908</v>
      </c>
      <c r="I52" s="27">
        <f t="shared" si="2"/>
        <v>8.44300803</v>
      </c>
    </row>
    <row r="53">
      <c r="A53" s="28" t="s">
        <v>12</v>
      </c>
      <c r="B53" s="42" t="s">
        <v>112</v>
      </c>
      <c r="C53" s="14" t="s">
        <v>25</v>
      </c>
      <c r="D53" s="38" t="s">
        <v>109</v>
      </c>
      <c r="E53" s="43">
        <v>35.2395</v>
      </c>
      <c r="F53" s="43">
        <v>6.0044</v>
      </c>
      <c r="G53" s="44">
        <f t="shared" si="1"/>
        <v>41.2439</v>
      </c>
      <c r="H53" s="43">
        <v>40.7292</v>
      </c>
      <c r="I53" s="27">
        <f t="shared" si="2"/>
        <v>8.572047165</v>
      </c>
    </row>
    <row r="54">
      <c r="A54" s="28" t="s">
        <v>12</v>
      </c>
      <c r="B54" s="42" t="s">
        <v>114</v>
      </c>
      <c r="C54" s="14" t="s">
        <v>34</v>
      </c>
      <c r="D54" s="38" t="s">
        <v>109</v>
      </c>
      <c r="E54" s="43">
        <v>39.3393</v>
      </c>
      <c r="F54" s="43">
        <v>6.0018</v>
      </c>
      <c r="G54" s="44">
        <f t="shared" si="1"/>
        <v>45.3411</v>
      </c>
      <c r="H54" s="43">
        <v>44.7992</v>
      </c>
      <c r="I54" s="27">
        <f t="shared" si="2"/>
        <v>9.028957979</v>
      </c>
    </row>
    <row r="55">
      <c r="A55" s="28" t="s">
        <v>12</v>
      </c>
      <c r="B55" s="42" t="s">
        <v>60</v>
      </c>
      <c r="C55" s="14" t="s">
        <v>34</v>
      </c>
      <c r="D55" s="38" t="s">
        <v>109</v>
      </c>
      <c r="E55" s="43">
        <v>23.8333</v>
      </c>
      <c r="F55" s="43">
        <v>6.0089</v>
      </c>
      <c r="G55" s="44">
        <f t="shared" si="1"/>
        <v>29.8422</v>
      </c>
      <c r="H55" s="43">
        <v>29.3032</v>
      </c>
      <c r="I55" s="27">
        <f t="shared" si="2"/>
        <v>8.970027792</v>
      </c>
    </row>
    <row r="56">
      <c r="A56" s="28" t="s">
        <v>12</v>
      </c>
      <c r="B56" s="42" t="s">
        <v>115</v>
      </c>
      <c r="C56" s="14" t="s">
        <v>34</v>
      </c>
      <c r="D56" s="38" t="s">
        <v>109</v>
      </c>
      <c r="E56" s="43">
        <v>16.3604</v>
      </c>
      <c r="F56" s="43">
        <v>6.0077</v>
      </c>
      <c r="G56" s="44">
        <f t="shared" si="1"/>
        <v>22.3681</v>
      </c>
      <c r="H56" s="43">
        <v>21.8302</v>
      </c>
      <c r="I56" s="27">
        <f t="shared" si="2"/>
        <v>8.953509663</v>
      </c>
    </row>
    <row r="57">
      <c r="A57" s="28" t="s">
        <v>12</v>
      </c>
      <c r="B57" s="42" t="s">
        <v>116</v>
      </c>
      <c r="C57" s="14" t="s">
        <v>40</v>
      </c>
      <c r="D57" s="38" t="s">
        <v>109</v>
      </c>
      <c r="E57" s="43">
        <v>41.0762</v>
      </c>
      <c r="F57" s="43">
        <v>6.0089</v>
      </c>
      <c r="G57" s="44">
        <f t="shared" si="1"/>
        <v>47.0851</v>
      </c>
      <c r="H57" s="43">
        <v>46.5667</v>
      </c>
      <c r="I57" s="27">
        <f t="shared" si="2"/>
        <v>8.627202982</v>
      </c>
    </row>
    <row r="58">
      <c r="A58" s="28" t="s">
        <v>12</v>
      </c>
      <c r="B58" s="42" t="s">
        <v>118</v>
      </c>
      <c r="C58" s="14" t="s">
        <v>40</v>
      </c>
      <c r="D58" s="38" t="s">
        <v>109</v>
      </c>
      <c r="E58" s="43">
        <v>34.708</v>
      </c>
      <c r="F58" s="43">
        <v>6.0075</v>
      </c>
      <c r="G58" s="44">
        <f t="shared" si="1"/>
        <v>40.7155</v>
      </c>
      <c r="H58" s="43">
        <v>40.1928</v>
      </c>
      <c r="I58" s="27">
        <f t="shared" si="2"/>
        <v>8.700790678</v>
      </c>
    </row>
    <row r="59">
      <c r="A59" s="28" t="s">
        <v>12</v>
      </c>
      <c r="B59" s="46" t="s">
        <v>119</v>
      </c>
      <c r="C59" s="14" t="s">
        <v>40</v>
      </c>
      <c r="D59" s="45" t="s">
        <v>109</v>
      </c>
      <c r="E59" s="47">
        <v>26.6809</v>
      </c>
      <c r="F59" s="47">
        <v>6.0074</v>
      </c>
      <c r="G59" s="48">
        <f t="shared" si="1"/>
        <v>32.6883</v>
      </c>
      <c r="H59" s="47">
        <v>32.1612</v>
      </c>
      <c r="I59" s="31">
        <f t="shared" si="2"/>
        <v>8.774178513</v>
      </c>
    </row>
    <row r="62">
      <c r="A62" s="49"/>
      <c r="B62" s="49"/>
      <c r="C62" s="49"/>
      <c r="D62" s="38"/>
      <c r="E62" s="49"/>
      <c r="F62" s="49"/>
      <c r="G62" s="49"/>
      <c r="H62" s="49"/>
      <c r="I62" s="49"/>
    </row>
    <row r="63">
      <c r="A63" s="49"/>
      <c r="B63" s="49"/>
      <c r="C63" s="49"/>
      <c r="D63" s="49"/>
      <c r="E63" s="49"/>
      <c r="F63" s="49"/>
      <c r="G63" s="49"/>
      <c r="H63" s="49"/>
      <c r="I63" s="49"/>
    </row>
    <row r="64">
      <c r="A64" s="49"/>
      <c r="B64" s="49"/>
      <c r="C64" s="49"/>
      <c r="D64" s="49"/>
      <c r="E64" s="49"/>
      <c r="F64" s="49"/>
      <c r="G64" s="49"/>
      <c r="H64" s="49"/>
      <c r="I64" s="49"/>
    </row>
    <row r="65">
      <c r="A65" s="49"/>
      <c r="B65" s="49"/>
      <c r="C65" s="49"/>
      <c r="D65" s="49"/>
      <c r="E65" s="49"/>
      <c r="F65" s="49"/>
      <c r="G65" s="49"/>
      <c r="H65" s="49"/>
      <c r="I65" s="49"/>
    </row>
    <row r="66">
      <c r="A66" s="49"/>
      <c r="B66" s="49"/>
      <c r="C66" s="49"/>
      <c r="D66" s="49"/>
      <c r="E66" s="49"/>
      <c r="F66" s="49"/>
      <c r="G66" s="49"/>
      <c r="H66" s="49"/>
      <c r="I66" s="49"/>
    </row>
    <row r="67">
      <c r="A67" s="49"/>
      <c r="B67" s="49"/>
      <c r="C67" s="49"/>
      <c r="D67" s="49"/>
      <c r="E67" s="49"/>
      <c r="F67" s="49"/>
      <c r="G67" s="49"/>
      <c r="H67" s="49"/>
      <c r="I67" s="49"/>
    </row>
    <row r="68">
      <c r="A68" s="49"/>
      <c r="B68" s="49"/>
      <c r="C68" s="49"/>
      <c r="D68" s="49"/>
      <c r="E68" s="49"/>
      <c r="F68" s="49"/>
      <c r="G68" s="49"/>
      <c r="H68" s="49"/>
      <c r="I68" s="49"/>
    </row>
    <row r="69">
      <c r="A69" s="49"/>
      <c r="B69" s="49"/>
      <c r="C69" s="49"/>
      <c r="D69" s="49"/>
      <c r="E69" s="49"/>
      <c r="F69" s="49"/>
      <c r="G69" s="49"/>
      <c r="H69" s="49"/>
      <c r="I69" s="49"/>
    </row>
    <row r="70">
      <c r="A70" s="49"/>
      <c r="B70" s="49"/>
      <c r="C70" s="49"/>
      <c r="D70" s="49"/>
      <c r="E70" s="49"/>
      <c r="F70" s="49"/>
      <c r="G70" s="49"/>
      <c r="H70" s="49"/>
      <c r="I70" s="49"/>
    </row>
    <row r="71">
      <c r="A71" s="49"/>
      <c r="B71" s="49"/>
      <c r="C71" s="49"/>
      <c r="D71" s="49"/>
      <c r="E71" s="49"/>
      <c r="F71" s="49"/>
      <c r="G71" s="49"/>
      <c r="H71" s="49"/>
      <c r="I71" s="49"/>
    </row>
    <row r="72">
      <c r="A72" s="49"/>
      <c r="B72" s="49"/>
      <c r="C72" s="49"/>
      <c r="D72" s="49"/>
      <c r="E72" s="49"/>
      <c r="F72" s="49"/>
      <c r="G72" s="49"/>
      <c r="H72" s="49"/>
      <c r="I72" s="49"/>
    </row>
    <row r="73">
      <c r="A73" s="49"/>
      <c r="B73" s="49"/>
      <c r="C73" s="49"/>
      <c r="D73" s="49"/>
      <c r="E73" s="49"/>
      <c r="F73" s="49"/>
      <c r="G73" s="49"/>
      <c r="H73" s="49"/>
      <c r="I73" s="49"/>
    </row>
    <row r="74">
      <c r="A74" s="49"/>
      <c r="B74" s="49"/>
      <c r="C74" s="49"/>
      <c r="D74" s="49"/>
      <c r="E74" s="49"/>
      <c r="F74" s="49"/>
      <c r="G74" s="49"/>
      <c r="H74" s="49"/>
      <c r="I74" s="49"/>
    </row>
    <row r="75">
      <c r="A75" s="49"/>
      <c r="B75" s="49"/>
      <c r="C75" s="49"/>
      <c r="D75" s="49"/>
      <c r="E75" s="49"/>
      <c r="F75" s="49"/>
      <c r="G75" s="49"/>
      <c r="H75" s="49"/>
      <c r="I75" s="49"/>
    </row>
    <row r="76">
      <c r="A76" s="49"/>
      <c r="B76" s="49"/>
      <c r="C76" s="49"/>
      <c r="D76" s="49"/>
      <c r="E76" s="49"/>
      <c r="F76" s="49"/>
      <c r="G76" s="49"/>
      <c r="H76" s="49"/>
      <c r="I76" s="49"/>
    </row>
    <row r="77">
      <c r="A77" s="49"/>
      <c r="B77" s="49"/>
      <c r="C77" s="49"/>
      <c r="D77" s="49"/>
      <c r="E77" s="49"/>
      <c r="F77" s="49"/>
      <c r="G77" s="49"/>
      <c r="H77" s="49"/>
      <c r="I77" s="49"/>
    </row>
    <row r="78">
      <c r="A78" s="49"/>
      <c r="B78" s="49"/>
      <c r="C78" s="49"/>
      <c r="D78" s="49"/>
      <c r="E78" s="49"/>
      <c r="F78" s="49"/>
      <c r="G78" s="49"/>
      <c r="H78" s="49"/>
      <c r="I78" s="49"/>
    </row>
    <row r="79">
      <c r="A79" s="49"/>
      <c r="B79" s="49"/>
      <c r="C79" s="49"/>
      <c r="D79" s="49"/>
      <c r="E79" s="49"/>
      <c r="F79" s="49"/>
      <c r="G79" s="49"/>
      <c r="H79" s="49"/>
      <c r="I79" s="49"/>
    </row>
    <row r="80">
      <c r="A80" s="49"/>
      <c r="B80" s="49"/>
      <c r="C80" s="49"/>
      <c r="D80" s="49"/>
      <c r="E80" s="49"/>
      <c r="F80" s="49"/>
      <c r="G80" s="49"/>
      <c r="H80" s="49"/>
      <c r="I80" s="49"/>
    </row>
    <row r="81">
      <c r="A81" s="49"/>
      <c r="B81" s="49"/>
      <c r="C81" s="49"/>
      <c r="D81" s="49"/>
      <c r="E81" s="49"/>
      <c r="F81" s="49"/>
      <c r="G81" s="49"/>
      <c r="H81" s="49"/>
      <c r="I81" s="49"/>
    </row>
    <row r="82">
      <c r="A82" s="49"/>
      <c r="B82" s="49"/>
      <c r="C82" s="49"/>
      <c r="D82" s="49"/>
      <c r="E82" s="49"/>
      <c r="F82" s="49"/>
      <c r="G82" s="49"/>
      <c r="H82" s="49"/>
      <c r="I82" s="49"/>
    </row>
    <row r="83">
      <c r="A83" s="49"/>
      <c r="B83" s="49"/>
      <c r="C83" s="49"/>
      <c r="D83" s="49"/>
      <c r="E83" s="49"/>
      <c r="F83" s="49"/>
      <c r="G83" s="49"/>
      <c r="H83" s="49"/>
      <c r="I83" s="49"/>
    </row>
    <row r="84">
      <c r="A84" s="49"/>
      <c r="B84" s="49"/>
      <c r="C84" s="49"/>
      <c r="D84" s="49"/>
      <c r="E84" s="49"/>
      <c r="F84" s="49"/>
      <c r="G84" s="49"/>
      <c r="H84" s="49"/>
      <c r="I84" s="49"/>
    </row>
    <row r="85">
      <c r="A85" s="49"/>
      <c r="B85" s="49"/>
      <c r="C85" s="49"/>
      <c r="D85" s="49"/>
      <c r="E85" s="49"/>
      <c r="F85" s="49"/>
      <c r="G85" s="49"/>
      <c r="H85" s="49"/>
      <c r="I85" s="49"/>
    </row>
    <row r="86">
      <c r="A86" s="49"/>
      <c r="B86" s="49"/>
      <c r="C86" s="49"/>
      <c r="D86" s="49"/>
      <c r="E86" s="49"/>
      <c r="F86" s="49"/>
      <c r="G86" s="49"/>
      <c r="H86" s="49"/>
      <c r="I86" s="49"/>
    </row>
    <row r="87">
      <c r="A87" s="49"/>
      <c r="B87" s="49"/>
      <c r="C87" s="49"/>
      <c r="D87" s="49"/>
      <c r="E87" s="49"/>
      <c r="F87" s="49"/>
      <c r="G87" s="49"/>
      <c r="H87" s="49"/>
      <c r="I87" s="49"/>
    </row>
    <row r="88">
      <c r="A88" s="49"/>
      <c r="B88" s="49"/>
      <c r="C88" s="49"/>
      <c r="D88" s="49"/>
      <c r="E88" s="49"/>
      <c r="F88" s="49"/>
      <c r="G88" s="49"/>
      <c r="H88" s="49"/>
      <c r="I88" s="49"/>
    </row>
    <row r="89">
      <c r="A89" s="49"/>
      <c r="B89" s="49"/>
      <c r="C89" s="49"/>
      <c r="D89" s="49"/>
      <c r="E89" s="49"/>
      <c r="F89" s="49"/>
      <c r="G89" s="49"/>
      <c r="H89" s="49"/>
      <c r="I89" s="49"/>
    </row>
    <row r="90">
      <c r="A90" s="49"/>
      <c r="B90" s="49"/>
      <c r="C90" s="49"/>
      <c r="D90" s="49"/>
      <c r="E90" s="49"/>
      <c r="F90" s="49"/>
      <c r="G90" s="49"/>
      <c r="H90" s="49"/>
      <c r="I90" s="49"/>
    </row>
    <row r="91">
      <c r="A91" s="49"/>
      <c r="B91" s="49"/>
      <c r="C91" s="49"/>
      <c r="D91" s="49"/>
      <c r="E91" s="49"/>
      <c r="F91" s="49"/>
      <c r="G91" s="49"/>
      <c r="H91" s="49"/>
      <c r="I91" s="49"/>
    </row>
    <row r="92">
      <c r="A92" s="49"/>
      <c r="B92" s="49"/>
      <c r="C92" s="49"/>
      <c r="D92" s="49"/>
      <c r="E92" s="49"/>
      <c r="F92" s="49"/>
      <c r="G92" s="49"/>
      <c r="H92" s="49"/>
      <c r="I92" s="49"/>
    </row>
    <row r="93">
      <c r="A93" s="49"/>
      <c r="B93" s="49"/>
      <c r="C93" s="49"/>
      <c r="D93" s="49"/>
      <c r="E93" s="49"/>
      <c r="F93" s="49"/>
      <c r="G93" s="49"/>
      <c r="H93" s="49"/>
      <c r="I93" s="49"/>
    </row>
    <row r="94">
      <c r="A94" s="49"/>
      <c r="B94" s="49"/>
      <c r="C94" s="49"/>
      <c r="D94" s="49"/>
      <c r="E94" s="49"/>
      <c r="F94" s="49"/>
      <c r="G94" s="49"/>
      <c r="H94" s="49"/>
      <c r="I94" s="49"/>
    </row>
    <row r="95">
      <c r="A95" s="49"/>
      <c r="B95" s="49"/>
      <c r="C95" s="49"/>
      <c r="D95" s="49"/>
      <c r="E95" s="49"/>
      <c r="F95" s="49"/>
      <c r="G95" s="49"/>
      <c r="H95" s="49"/>
      <c r="I95" s="49"/>
    </row>
    <row r="96">
      <c r="A96" s="49"/>
      <c r="B96" s="49"/>
      <c r="C96" s="49"/>
      <c r="D96" s="49"/>
      <c r="E96" s="49"/>
      <c r="F96" s="49"/>
      <c r="G96" s="49"/>
      <c r="H96" s="49"/>
      <c r="I96" s="49"/>
    </row>
    <row r="97">
      <c r="A97" s="49"/>
      <c r="B97" s="49"/>
      <c r="C97" s="49"/>
      <c r="D97" s="49"/>
      <c r="E97" s="49"/>
      <c r="F97" s="49"/>
      <c r="G97" s="49"/>
      <c r="H97" s="49"/>
      <c r="I97" s="49"/>
    </row>
    <row r="98">
      <c r="A98" s="49"/>
      <c r="B98" s="49"/>
      <c r="C98" s="49"/>
      <c r="D98" s="49"/>
      <c r="E98" s="49"/>
      <c r="F98" s="49"/>
      <c r="G98" s="49"/>
      <c r="H98" s="49"/>
      <c r="I98" s="49"/>
    </row>
    <row r="99">
      <c r="A99" s="49"/>
      <c r="B99" s="49"/>
      <c r="C99" s="49"/>
      <c r="D99" s="49"/>
      <c r="E99" s="49"/>
      <c r="F99" s="49"/>
      <c r="G99" s="49"/>
      <c r="H99" s="49"/>
      <c r="I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5.38"/>
    <col customWidth="1" min="3" max="3" width="39.75"/>
    <col customWidth="1" min="4" max="4" width="8.75"/>
    <col customWidth="1" min="5" max="5" width="7.88"/>
    <col customWidth="1" min="6" max="6" width="8.13"/>
    <col customWidth="1" min="7" max="7" width="7.5"/>
    <col customWidth="1" min="8" max="8" width="7.88"/>
    <col customWidth="1" min="9" max="9" width="6.75"/>
  </cols>
  <sheetData>
    <row r="1">
      <c r="A1" s="1" t="s">
        <v>0</v>
      </c>
      <c r="B1" s="3" t="s">
        <v>1</v>
      </c>
      <c r="C1" s="6" t="s">
        <v>2</v>
      </c>
      <c r="D1" s="6" t="s">
        <v>3</v>
      </c>
      <c r="E1" s="7" t="s">
        <v>7</v>
      </c>
      <c r="F1" s="7" t="s">
        <v>8</v>
      </c>
      <c r="G1" s="7" t="s">
        <v>9</v>
      </c>
      <c r="H1" s="7" t="s">
        <v>10</v>
      </c>
      <c r="I1" s="17" t="s">
        <v>18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1" t="s">
        <v>19</v>
      </c>
      <c r="B2" s="22" t="s">
        <v>21</v>
      </c>
      <c r="C2" s="14" t="s">
        <v>16</v>
      </c>
      <c r="D2" s="14" t="s">
        <v>17</v>
      </c>
      <c r="E2" s="25">
        <v>15.1309</v>
      </c>
      <c r="F2" s="24">
        <v>2.0469</v>
      </c>
      <c r="G2" s="24">
        <f t="shared" ref="G2:G57" si="1">SUM(E2:F2)</f>
        <v>17.1778</v>
      </c>
      <c r="H2" s="24">
        <v>15.2296</v>
      </c>
      <c r="I2" s="24">
        <f t="shared" ref="I2:I57" si="2">(100*(H2-E2)/F2)</f>
        <v>4.821925839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1" t="s">
        <v>19</v>
      </c>
      <c r="B3" s="22" t="s">
        <v>38</v>
      </c>
      <c r="C3" s="14" t="s">
        <v>16</v>
      </c>
      <c r="D3" s="14" t="s">
        <v>17</v>
      </c>
      <c r="E3" s="25">
        <v>15.6437</v>
      </c>
      <c r="F3" s="27">
        <v>2.0434</v>
      </c>
      <c r="G3" s="24">
        <f t="shared" si="1"/>
        <v>17.6871</v>
      </c>
      <c r="H3" s="24">
        <v>15.7446</v>
      </c>
      <c r="I3" s="24">
        <f t="shared" si="2"/>
        <v>4.937848684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1" t="s">
        <v>19</v>
      </c>
      <c r="B4" s="22" t="s">
        <v>45</v>
      </c>
      <c r="C4" s="14" t="s">
        <v>16</v>
      </c>
      <c r="D4" s="14" t="s">
        <v>17</v>
      </c>
      <c r="E4" s="25">
        <v>23.6795</v>
      </c>
      <c r="F4" s="27">
        <v>2.0032</v>
      </c>
      <c r="G4" s="24">
        <f t="shared" si="1"/>
        <v>25.6827</v>
      </c>
      <c r="H4" s="24">
        <v>23.7889</v>
      </c>
      <c r="I4" s="24">
        <f t="shared" si="2"/>
        <v>5.461261981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1" t="s">
        <v>19</v>
      </c>
      <c r="B5" s="22" t="s">
        <v>48</v>
      </c>
      <c r="C5" s="14" t="s">
        <v>25</v>
      </c>
      <c r="D5" s="14" t="s">
        <v>17</v>
      </c>
      <c r="E5" s="25">
        <v>24.4841</v>
      </c>
      <c r="F5" s="27">
        <v>2.0377</v>
      </c>
      <c r="G5" s="24">
        <f t="shared" si="1"/>
        <v>26.5218</v>
      </c>
      <c r="H5" s="24">
        <v>24.5787</v>
      </c>
      <c r="I5" s="24">
        <f t="shared" si="2"/>
        <v>4.642489081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1" t="s">
        <v>19</v>
      </c>
      <c r="B6" s="22" t="s">
        <v>55</v>
      </c>
      <c r="C6" s="14" t="s">
        <v>25</v>
      </c>
      <c r="D6" s="14" t="s">
        <v>17</v>
      </c>
      <c r="E6" s="25">
        <v>19.4115</v>
      </c>
      <c r="F6" s="24">
        <v>2.0338</v>
      </c>
      <c r="G6" s="24">
        <f t="shared" si="1"/>
        <v>21.4453</v>
      </c>
      <c r="H6" s="24">
        <v>19.5052</v>
      </c>
      <c r="I6" s="24">
        <f t="shared" si="2"/>
        <v>4.607139345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1" t="s">
        <v>19</v>
      </c>
      <c r="B7" s="22" t="s">
        <v>58</v>
      </c>
      <c r="C7" s="14" t="s">
        <v>25</v>
      </c>
      <c r="D7" s="14" t="s">
        <v>17</v>
      </c>
      <c r="E7" s="25">
        <v>15.1034</v>
      </c>
      <c r="F7" s="24">
        <v>2.0277</v>
      </c>
      <c r="G7" s="24">
        <f t="shared" si="1"/>
        <v>17.1311</v>
      </c>
      <c r="H7" s="24">
        <v>15.1925</v>
      </c>
      <c r="I7" s="24">
        <f t="shared" si="2"/>
        <v>4.394141145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1" t="s">
        <v>19</v>
      </c>
      <c r="B8" s="22" t="s">
        <v>61</v>
      </c>
      <c r="C8" s="14" t="s">
        <v>34</v>
      </c>
      <c r="D8" s="14" t="s">
        <v>17</v>
      </c>
      <c r="E8" s="25">
        <v>15.8371</v>
      </c>
      <c r="F8" s="24">
        <v>2.0431</v>
      </c>
      <c r="G8" s="24">
        <f t="shared" si="1"/>
        <v>17.8802</v>
      </c>
      <c r="H8" s="24">
        <v>15.9246</v>
      </c>
      <c r="I8" s="24">
        <f t="shared" si="2"/>
        <v>4.28270765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1" t="s">
        <v>19</v>
      </c>
      <c r="B9" s="22" t="s">
        <v>65</v>
      </c>
      <c r="C9" s="14" t="s">
        <v>34</v>
      </c>
      <c r="D9" s="14" t="s">
        <v>17</v>
      </c>
      <c r="E9" s="25">
        <v>26.6817</v>
      </c>
      <c r="F9" s="24">
        <v>2.0305</v>
      </c>
      <c r="G9" s="24">
        <f t="shared" si="1"/>
        <v>28.7122</v>
      </c>
      <c r="H9" s="24">
        <v>26.7865</v>
      </c>
      <c r="I9" s="24">
        <f t="shared" si="2"/>
        <v>5.161290323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1" t="s">
        <v>19</v>
      </c>
      <c r="B10" s="22" t="s">
        <v>69</v>
      </c>
      <c r="C10" s="14" t="s">
        <v>34</v>
      </c>
      <c r="D10" s="14" t="s">
        <v>17</v>
      </c>
      <c r="E10" s="25">
        <v>16.119</v>
      </c>
      <c r="F10" s="24">
        <v>2.0947</v>
      </c>
      <c r="G10" s="24">
        <f t="shared" si="1"/>
        <v>18.2137</v>
      </c>
      <c r="H10" s="24">
        <v>16.2243</v>
      </c>
      <c r="I10" s="24">
        <f t="shared" si="2"/>
        <v>5.026972836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1" t="s">
        <v>19</v>
      </c>
      <c r="B11" s="22" t="s">
        <v>71</v>
      </c>
      <c r="C11" s="14" t="s">
        <v>40</v>
      </c>
      <c r="D11" s="14" t="s">
        <v>17</v>
      </c>
      <c r="E11" s="25">
        <v>19.4355</v>
      </c>
      <c r="F11" s="24">
        <v>2.0683</v>
      </c>
      <c r="G11" s="24">
        <f t="shared" si="1"/>
        <v>21.5038</v>
      </c>
      <c r="H11" s="24">
        <v>19.5342</v>
      </c>
      <c r="I11" s="24">
        <f t="shared" si="2"/>
        <v>4.772035005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1" t="s">
        <v>19</v>
      </c>
      <c r="B12" s="22" t="s">
        <v>75</v>
      </c>
      <c r="C12" s="14" t="s">
        <v>40</v>
      </c>
      <c r="D12" s="14" t="s">
        <v>17</v>
      </c>
      <c r="E12" s="25">
        <v>15.6088</v>
      </c>
      <c r="F12" s="27">
        <v>2.0685</v>
      </c>
      <c r="G12" s="24">
        <f t="shared" si="1"/>
        <v>17.6773</v>
      </c>
      <c r="H12" s="24">
        <v>15.7046</v>
      </c>
      <c r="I12" s="24">
        <f t="shared" si="2"/>
        <v>4.631375393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34" t="s">
        <v>19</v>
      </c>
      <c r="B13" s="35" t="s">
        <v>80</v>
      </c>
      <c r="C13" s="14" t="s">
        <v>40</v>
      </c>
      <c r="D13" s="14" t="s">
        <v>17</v>
      </c>
      <c r="E13" s="36">
        <v>15.9994</v>
      </c>
      <c r="F13" s="29">
        <v>2.0025</v>
      </c>
      <c r="G13" s="29">
        <f t="shared" si="1"/>
        <v>18.0019</v>
      </c>
      <c r="H13" s="29">
        <v>16.0987</v>
      </c>
      <c r="I13" s="29">
        <f t="shared" si="2"/>
        <v>4.958801498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1" t="s">
        <v>19</v>
      </c>
      <c r="B14" s="22" t="s">
        <v>85</v>
      </c>
      <c r="C14" s="14" t="s">
        <v>16</v>
      </c>
      <c r="D14" s="38" t="s">
        <v>50</v>
      </c>
      <c r="E14" s="25">
        <v>16.3597</v>
      </c>
      <c r="F14" s="24">
        <v>2.0082</v>
      </c>
      <c r="G14" s="24">
        <f t="shared" si="1"/>
        <v>18.3679</v>
      </c>
      <c r="H14" s="24">
        <v>16.4558</v>
      </c>
      <c r="I14" s="24">
        <f t="shared" si="2"/>
        <v>4.785379942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1" t="s">
        <v>19</v>
      </c>
      <c r="B15" s="22" t="s">
        <v>88</v>
      </c>
      <c r="C15" s="14" t="s">
        <v>16</v>
      </c>
      <c r="D15" s="38" t="s">
        <v>50</v>
      </c>
      <c r="E15" s="25">
        <v>23.6797</v>
      </c>
      <c r="F15" s="27">
        <v>2.0065</v>
      </c>
      <c r="G15" s="24">
        <f t="shared" si="1"/>
        <v>25.6862</v>
      </c>
      <c r="H15" s="24">
        <v>23.7848</v>
      </c>
      <c r="I15" s="24">
        <f t="shared" si="2"/>
        <v>5.237976576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1" t="s">
        <v>19</v>
      </c>
      <c r="B16" s="22" t="s">
        <v>90</v>
      </c>
      <c r="C16" s="14" t="s">
        <v>16</v>
      </c>
      <c r="D16" s="38" t="s">
        <v>50</v>
      </c>
      <c r="E16" s="25">
        <v>15.1036</v>
      </c>
      <c r="F16" s="27">
        <v>2.0038</v>
      </c>
      <c r="G16" s="24">
        <f t="shared" si="1"/>
        <v>17.1074</v>
      </c>
      <c r="H16" s="24">
        <v>15.1895</v>
      </c>
      <c r="I16" s="24">
        <f t="shared" si="2"/>
        <v>4.286854976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1" t="s">
        <v>19</v>
      </c>
      <c r="B17" s="22" t="s">
        <v>92</v>
      </c>
      <c r="C17" s="14" t="s">
        <v>25</v>
      </c>
      <c r="D17" s="38" t="s">
        <v>50</v>
      </c>
      <c r="E17" s="25">
        <v>26.3807</v>
      </c>
      <c r="F17" s="27">
        <v>2.0037</v>
      </c>
      <c r="G17" s="24">
        <f t="shared" si="1"/>
        <v>28.3844</v>
      </c>
      <c r="H17" s="24">
        <v>26.4777</v>
      </c>
      <c r="I17" s="24">
        <f t="shared" si="2"/>
        <v>4.841044068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1" t="s">
        <v>19</v>
      </c>
      <c r="B18" s="22" t="s">
        <v>94</v>
      </c>
      <c r="C18" s="14" t="s">
        <v>25</v>
      </c>
      <c r="D18" s="38" t="s">
        <v>50</v>
      </c>
      <c r="E18" s="25">
        <v>17.0843</v>
      </c>
      <c r="F18" s="24">
        <v>2.0032</v>
      </c>
      <c r="G18" s="24">
        <f t="shared" si="1"/>
        <v>19.0875</v>
      </c>
      <c r="H18" s="24">
        <v>17.1754</v>
      </c>
      <c r="I18" s="24">
        <f t="shared" si="2"/>
        <v>4.547723642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1" t="s">
        <v>19</v>
      </c>
      <c r="B19" s="22" t="s">
        <v>96</v>
      </c>
      <c r="C19" s="14" t="s">
        <v>34</v>
      </c>
      <c r="D19" s="38" t="s">
        <v>50</v>
      </c>
      <c r="E19" s="25">
        <v>41.076</v>
      </c>
      <c r="F19" s="24">
        <v>2.0021</v>
      </c>
      <c r="G19" s="24">
        <f t="shared" si="1"/>
        <v>43.0781</v>
      </c>
      <c r="H19" s="24">
        <v>41.1635</v>
      </c>
      <c r="I19" s="24">
        <f t="shared" si="2"/>
        <v>4.370411068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1" t="s">
        <v>19</v>
      </c>
      <c r="B20" s="22" t="s">
        <v>100</v>
      </c>
      <c r="C20" s="14" t="s">
        <v>34</v>
      </c>
      <c r="D20" s="38" t="s">
        <v>50</v>
      </c>
      <c r="E20" s="25">
        <v>15.6444</v>
      </c>
      <c r="F20" s="24">
        <v>2.0025</v>
      </c>
      <c r="G20" s="24">
        <f t="shared" si="1"/>
        <v>17.6469</v>
      </c>
      <c r="H20" s="24">
        <v>15.7395</v>
      </c>
      <c r="I20" s="24">
        <f t="shared" si="2"/>
        <v>4.74906367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1" t="s">
        <v>19</v>
      </c>
      <c r="B21" s="22" t="s">
        <v>102</v>
      </c>
      <c r="C21" s="14" t="s">
        <v>34</v>
      </c>
      <c r="D21" s="38" t="s">
        <v>50</v>
      </c>
      <c r="E21" s="25">
        <v>31.7855</v>
      </c>
      <c r="F21" s="24">
        <v>2.002</v>
      </c>
      <c r="G21" s="24">
        <f t="shared" si="1"/>
        <v>33.7875</v>
      </c>
      <c r="H21" s="24">
        <v>31.878</v>
      </c>
      <c r="I21" s="24">
        <f t="shared" si="2"/>
        <v>4.62037962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1" t="s">
        <v>19</v>
      </c>
      <c r="B22" s="22" t="s">
        <v>105</v>
      </c>
      <c r="C22" s="14" t="s">
        <v>40</v>
      </c>
      <c r="D22" s="38" t="s">
        <v>50</v>
      </c>
      <c r="E22" s="25">
        <v>34.581</v>
      </c>
      <c r="F22" s="24">
        <v>2.0016</v>
      </c>
      <c r="G22" s="24">
        <f t="shared" si="1"/>
        <v>36.5826</v>
      </c>
      <c r="H22" s="24">
        <v>34.6734</v>
      </c>
      <c r="I22" s="24">
        <f t="shared" si="2"/>
        <v>4.616306954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1" t="s">
        <v>19</v>
      </c>
      <c r="B23" s="22" t="s">
        <v>110</v>
      </c>
      <c r="C23" s="14" t="s">
        <v>40</v>
      </c>
      <c r="D23" s="38" t="s">
        <v>50</v>
      </c>
      <c r="E23" s="25">
        <v>36.0161</v>
      </c>
      <c r="F23" s="27">
        <v>2.0087</v>
      </c>
      <c r="G23" s="24">
        <f t="shared" si="1"/>
        <v>38.0248</v>
      </c>
      <c r="H23" s="24">
        <v>36.0969</v>
      </c>
      <c r="I23" s="24">
        <f t="shared" si="2"/>
        <v>4.022502116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34" t="s">
        <v>19</v>
      </c>
      <c r="B24" s="35" t="s">
        <v>113</v>
      </c>
      <c r="C24" s="14" t="s">
        <v>40</v>
      </c>
      <c r="D24" s="45" t="s">
        <v>50</v>
      </c>
      <c r="E24" s="36">
        <v>23.2948</v>
      </c>
      <c r="F24" s="29">
        <v>2.003</v>
      </c>
      <c r="G24" s="29">
        <f t="shared" si="1"/>
        <v>25.2978</v>
      </c>
      <c r="H24" s="29">
        <v>23.39</v>
      </c>
      <c r="I24" s="29">
        <f t="shared" si="2"/>
        <v>4.752870694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21" t="s">
        <v>19</v>
      </c>
      <c r="B25" s="22" t="s">
        <v>117</v>
      </c>
      <c r="C25" s="14" t="s">
        <v>16</v>
      </c>
      <c r="D25" s="38" t="s">
        <v>53</v>
      </c>
      <c r="E25" s="44">
        <v>35.2363</v>
      </c>
      <c r="F25" s="24">
        <v>3.0377</v>
      </c>
      <c r="G25" s="24">
        <f t="shared" si="1"/>
        <v>38.274</v>
      </c>
      <c r="H25" s="24">
        <v>35.3918</v>
      </c>
      <c r="I25" s="24">
        <f t="shared" si="2"/>
        <v>5.11900451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21" t="s">
        <v>19</v>
      </c>
      <c r="B26" s="22" t="s">
        <v>120</v>
      </c>
      <c r="C26" s="14" t="s">
        <v>16</v>
      </c>
      <c r="D26" s="38" t="s">
        <v>53</v>
      </c>
      <c r="E26" s="24">
        <v>26.9237</v>
      </c>
      <c r="F26" s="27">
        <v>3.033</v>
      </c>
      <c r="G26" s="24">
        <f t="shared" si="1"/>
        <v>29.9567</v>
      </c>
      <c r="H26" s="24">
        <v>27.0721</v>
      </c>
      <c r="I26" s="24">
        <f t="shared" si="2"/>
        <v>4.892845368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21" t="s">
        <v>19</v>
      </c>
      <c r="B27" s="22" t="s">
        <v>121</v>
      </c>
      <c r="C27" s="14" t="s">
        <v>16</v>
      </c>
      <c r="D27" s="38" t="s">
        <v>53</v>
      </c>
      <c r="E27" s="24">
        <v>17.6567</v>
      </c>
      <c r="F27" s="27">
        <v>3.0002</v>
      </c>
      <c r="G27" s="24">
        <f t="shared" si="1"/>
        <v>20.6569</v>
      </c>
      <c r="H27" s="24">
        <v>17.806</v>
      </c>
      <c r="I27" s="24">
        <f t="shared" si="2"/>
        <v>4.976334911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21" t="s">
        <v>19</v>
      </c>
      <c r="B28" s="22" t="s">
        <v>122</v>
      </c>
      <c r="C28" s="14" t="s">
        <v>25</v>
      </c>
      <c r="D28" s="38" t="s">
        <v>53</v>
      </c>
      <c r="E28" s="24">
        <v>19.4116</v>
      </c>
      <c r="F28" s="27">
        <v>3.0019</v>
      </c>
      <c r="G28" s="24">
        <f t="shared" si="1"/>
        <v>22.4135</v>
      </c>
      <c r="H28" s="24">
        <v>19.5549</v>
      </c>
      <c r="I28" s="24">
        <f t="shared" si="2"/>
        <v>4.773643359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21" t="s">
        <v>19</v>
      </c>
      <c r="B29" s="22" t="s">
        <v>123</v>
      </c>
      <c r="C29" s="14" t="s">
        <v>25</v>
      </c>
      <c r="D29" s="38" t="s">
        <v>53</v>
      </c>
      <c r="E29" s="24">
        <v>25.0614</v>
      </c>
      <c r="F29" s="24">
        <v>3.0185</v>
      </c>
      <c r="G29" s="24">
        <f t="shared" si="1"/>
        <v>28.0799</v>
      </c>
      <c r="H29" s="24">
        <v>25.2036</v>
      </c>
      <c r="I29" s="24">
        <f t="shared" si="2"/>
        <v>4.710949147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1" t="s">
        <v>19</v>
      </c>
      <c r="B30" s="22" t="s">
        <v>124</v>
      </c>
      <c r="C30" s="14" t="s">
        <v>25</v>
      </c>
      <c r="D30" s="38" t="s">
        <v>53</v>
      </c>
      <c r="E30" s="24">
        <v>19.4344</v>
      </c>
      <c r="F30" s="24">
        <v>3.0099</v>
      </c>
      <c r="G30" s="24">
        <f t="shared" si="1"/>
        <v>22.4443</v>
      </c>
      <c r="H30" s="24">
        <v>19.5817</v>
      </c>
      <c r="I30" s="24">
        <f t="shared" si="2"/>
        <v>4.893850294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21" t="s">
        <v>19</v>
      </c>
      <c r="B31" s="22" t="s">
        <v>125</v>
      </c>
      <c r="C31" s="14" t="s">
        <v>34</v>
      </c>
      <c r="D31" s="38" t="s">
        <v>53</v>
      </c>
      <c r="E31" s="24">
        <v>34.1995</v>
      </c>
      <c r="F31" s="24">
        <v>3.0195</v>
      </c>
      <c r="G31" s="24">
        <f t="shared" si="1"/>
        <v>37.219</v>
      </c>
      <c r="H31" s="24">
        <v>34.3318</v>
      </c>
      <c r="I31" s="24">
        <f t="shared" si="2"/>
        <v>4.381520119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21" t="s">
        <v>19</v>
      </c>
      <c r="B32" s="22" t="s">
        <v>126</v>
      </c>
      <c r="C32" s="14" t="s">
        <v>34</v>
      </c>
      <c r="D32" s="38" t="s">
        <v>53</v>
      </c>
      <c r="E32" s="24">
        <v>35.3954</v>
      </c>
      <c r="F32" s="24">
        <v>3.004</v>
      </c>
      <c r="G32" s="24">
        <f t="shared" si="1"/>
        <v>38.3994</v>
      </c>
      <c r="H32" s="24">
        <v>35.5328</v>
      </c>
      <c r="I32" s="24">
        <f t="shared" si="2"/>
        <v>4.573901465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1" t="s">
        <v>19</v>
      </c>
      <c r="B33" s="22" t="s">
        <v>127</v>
      </c>
      <c r="C33" s="14" t="s">
        <v>34</v>
      </c>
      <c r="D33" s="38" t="s">
        <v>53</v>
      </c>
      <c r="E33" s="24">
        <v>32.8941</v>
      </c>
      <c r="F33" s="24">
        <v>3.0188</v>
      </c>
      <c r="G33" s="24">
        <f t="shared" si="1"/>
        <v>35.9129</v>
      </c>
      <c r="H33" s="24">
        <v>33.0374</v>
      </c>
      <c r="I33" s="24">
        <f t="shared" si="2"/>
        <v>4.746919306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21" t="s">
        <v>19</v>
      </c>
      <c r="B34" s="22" t="s">
        <v>128</v>
      </c>
      <c r="C34" s="14" t="s">
        <v>40</v>
      </c>
      <c r="D34" s="38" t="s">
        <v>53</v>
      </c>
      <c r="E34" s="24">
        <v>28.6433</v>
      </c>
      <c r="F34" s="24">
        <v>3.0186</v>
      </c>
      <c r="G34" s="24">
        <f t="shared" si="1"/>
        <v>31.6619</v>
      </c>
      <c r="H34" s="24">
        <v>28.7903</v>
      </c>
      <c r="I34" s="24">
        <f t="shared" si="2"/>
        <v>4.869807195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34" t="s">
        <v>19</v>
      </c>
      <c r="B35" s="35" t="s">
        <v>129</v>
      </c>
      <c r="C35" s="14" t="s">
        <v>40</v>
      </c>
      <c r="D35" s="45" t="s">
        <v>53</v>
      </c>
      <c r="E35" s="29">
        <v>32.1222</v>
      </c>
      <c r="F35" s="29">
        <v>3.0285</v>
      </c>
      <c r="G35" s="29">
        <f t="shared" si="1"/>
        <v>35.1507</v>
      </c>
      <c r="H35" s="29">
        <v>32.2806</v>
      </c>
      <c r="I35" s="29">
        <f t="shared" si="2"/>
        <v>5.230312036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21" t="s">
        <v>19</v>
      </c>
      <c r="B36" s="50" t="s">
        <v>130</v>
      </c>
      <c r="C36" s="14" t="s">
        <v>16</v>
      </c>
      <c r="D36" s="38" t="s">
        <v>86</v>
      </c>
      <c r="E36" s="24">
        <v>23.6799</v>
      </c>
      <c r="F36" s="24">
        <v>3.0569</v>
      </c>
      <c r="G36" s="24">
        <f t="shared" si="1"/>
        <v>26.7368</v>
      </c>
      <c r="H36" s="24">
        <v>23.8282</v>
      </c>
      <c r="I36" s="24">
        <f t="shared" si="2"/>
        <v>4.851319965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1" t="s">
        <v>19</v>
      </c>
      <c r="B37" s="50" t="s">
        <v>131</v>
      </c>
      <c r="C37" s="14" t="s">
        <v>16</v>
      </c>
      <c r="D37" s="38" t="s">
        <v>86</v>
      </c>
      <c r="E37" s="24">
        <v>17.6587</v>
      </c>
      <c r="F37" s="27">
        <v>3.095</v>
      </c>
      <c r="G37" s="24">
        <f t="shared" si="1"/>
        <v>20.7537</v>
      </c>
      <c r="H37" s="24">
        <v>17.8054</v>
      </c>
      <c r="I37" s="24">
        <f t="shared" si="2"/>
        <v>4.739903069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21" t="s">
        <v>19</v>
      </c>
      <c r="B38" s="50" t="s">
        <v>132</v>
      </c>
      <c r="C38" s="14" t="s">
        <v>25</v>
      </c>
      <c r="D38" s="38" t="s">
        <v>86</v>
      </c>
      <c r="E38" s="24">
        <v>39.3404</v>
      </c>
      <c r="F38" s="24">
        <v>3.017</v>
      </c>
      <c r="G38" s="24">
        <f t="shared" si="1"/>
        <v>42.3574</v>
      </c>
      <c r="H38" s="24">
        <v>39.4806</v>
      </c>
      <c r="I38" s="24">
        <f t="shared" si="2"/>
        <v>4.647000331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1" t="s">
        <v>19</v>
      </c>
      <c r="B39" s="50" t="s">
        <v>133</v>
      </c>
      <c r="C39" s="14" t="s">
        <v>25</v>
      </c>
      <c r="D39" s="38" t="s">
        <v>86</v>
      </c>
      <c r="E39" s="24">
        <v>31.786</v>
      </c>
      <c r="F39" s="24">
        <v>3.292</v>
      </c>
      <c r="G39" s="24">
        <f t="shared" si="1"/>
        <v>35.078</v>
      </c>
      <c r="H39" s="24">
        <v>31.9336</v>
      </c>
      <c r="I39" s="24">
        <f t="shared" si="2"/>
        <v>4.483596598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21" t="s">
        <v>19</v>
      </c>
      <c r="B40" s="50" t="s">
        <v>134</v>
      </c>
      <c r="C40" s="14" t="s">
        <v>34</v>
      </c>
      <c r="D40" s="38" t="s">
        <v>86</v>
      </c>
      <c r="E40" s="24">
        <v>32.1235</v>
      </c>
      <c r="F40" s="24">
        <v>3.0399</v>
      </c>
      <c r="G40" s="24">
        <f t="shared" si="1"/>
        <v>35.1634</v>
      </c>
      <c r="H40" s="24">
        <v>32.2688</v>
      </c>
      <c r="I40" s="24">
        <f t="shared" si="2"/>
        <v>4.779762492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21" t="s">
        <v>19</v>
      </c>
      <c r="B41" s="50" t="s">
        <v>135</v>
      </c>
      <c r="C41" s="14" t="s">
        <v>34</v>
      </c>
      <c r="D41" s="38" t="s">
        <v>86</v>
      </c>
      <c r="E41" s="24">
        <v>24.4833</v>
      </c>
      <c r="F41" s="24">
        <v>3.0324</v>
      </c>
      <c r="G41" s="24">
        <f t="shared" si="1"/>
        <v>27.5157</v>
      </c>
      <c r="H41" s="24">
        <v>24.6209</v>
      </c>
      <c r="I41" s="24">
        <f t="shared" si="2"/>
        <v>4.537659939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1" t="s">
        <v>19</v>
      </c>
      <c r="B42" s="50" t="s">
        <v>136</v>
      </c>
      <c r="C42" s="14" t="s">
        <v>34</v>
      </c>
      <c r="D42" s="38" t="s">
        <v>86</v>
      </c>
      <c r="E42" s="24">
        <v>23.1521</v>
      </c>
      <c r="F42" s="24">
        <v>3.0261</v>
      </c>
      <c r="G42" s="24">
        <f t="shared" si="1"/>
        <v>26.1782</v>
      </c>
      <c r="H42" s="24">
        <v>23.2812</v>
      </c>
      <c r="I42" s="24">
        <f t="shared" si="2"/>
        <v>4.266217243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21" t="s">
        <v>19</v>
      </c>
      <c r="B43" s="50" t="s">
        <v>137</v>
      </c>
      <c r="C43" s="14" t="s">
        <v>40</v>
      </c>
      <c r="D43" s="38" t="s">
        <v>86</v>
      </c>
      <c r="E43" s="24">
        <v>28.6451</v>
      </c>
      <c r="F43" s="24">
        <v>3.0674</v>
      </c>
      <c r="G43" s="24">
        <f t="shared" si="1"/>
        <v>31.7125</v>
      </c>
      <c r="H43" s="24">
        <v>28.7842</v>
      </c>
      <c r="I43" s="24">
        <f t="shared" si="2"/>
        <v>4.53478516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21" t="s">
        <v>19</v>
      </c>
      <c r="B44" s="50" t="s">
        <v>138</v>
      </c>
      <c r="C44" s="14" t="s">
        <v>40</v>
      </c>
      <c r="D44" s="38" t="s">
        <v>86</v>
      </c>
      <c r="E44" s="24">
        <v>34.2317</v>
      </c>
      <c r="F44" s="24">
        <v>3.0859</v>
      </c>
      <c r="G44" s="24">
        <f t="shared" si="1"/>
        <v>37.3176</v>
      </c>
      <c r="H44" s="24">
        <v>34.3877</v>
      </c>
      <c r="I44" s="24">
        <f t="shared" si="2"/>
        <v>5.055251304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34" t="s">
        <v>19</v>
      </c>
      <c r="B45" s="51" t="s">
        <v>139</v>
      </c>
      <c r="C45" s="14" t="s">
        <v>40</v>
      </c>
      <c r="D45" s="45" t="s">
        <v>86</v>
      </c>
      <c r="E45" s="29">
        <v>23.8293</v>
      </c>
      <c r="F45" s="29">
        <v>3.0073</v>
      </c>
      <c r="G45" s="29">
        <f t="shared" si="1"/>
        <v>26.8366</v>
      </c>
      <c r="H45" s="29">
        <v>23.97</v>
      </c>
      <c r="I45" s="29">
        <f t="shared" si="2"/>
        <v>4.678615369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21" t="s">
        <v>19</v>
      </c>
      <c r="B46" s="50" t="s">
        <v>140</v>
      </c>
      <c r="C46" s="14" t="s">
        <v>16</v>
      </c>
      <c r="D46" s="38" t="s">
        <v>104</v>
      </c>
      <c r="E46" s="24">
        <v>24.3243</v>
      </c>
      <c r="F46" s="24">
        <v>3.008</v>
      </c>
      <c r="G46" s="24">
        <f t="shared" si="1"/>
        <v>27.3323</v>
      </c>
      <c r="H46" s="24">
        <v>24.4755</v>
      </c>
      <c r="I46" s="24">
        <f t="shared" si="2"/>
        <v>5.026595745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21" t="s">
        <v>19</v>
      </c>
      <c r="B47" s="50" t="s">
        <v>141</v>
      </c>
      <c r="C47" s="14" t="s">
        <v>16</v>
      </c>
      <c r="D47" s="38" t="s">
        <v>104</v>
      </c>
      <c r="E47" s="24">
        <v>34.1988</v>
      </c>
      <c r="F47" s="27">
        <v>3.0091</v>
      </c>
      <c r="G47" s="24">
        <f t="shared" si="1"/>
        <v>37.2079</v>
      </c>
      <c r="H47" s="24">
        <v>34.3467</v>
      </c>
      <c r="I47" s="24">
        <f t="shared" si="2"/>
        <v>4.915090891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21" t="s">
        <v>19</v>
      </c>
      <c r="B48" s="50" t="s">
        <v>142</v>
      </c>
      <c r="C48" s="14" t="s">
        <v>16</v>
      </c>
      <c r="D48" s="38" t="s">
        <v>104</v>
      </c>
      <c r="E48" s="25">
        <v>28.6487</v>
      </c>
      <c r="F48" s="43">
        <v>3.0066</v>
      </c>
      <c r="G48" s="44">
        <f t="shared" si="1"/>
        <v>31.6553</v>
      </c>
      <c r="H48" s="44">
        <v>28.796</v>
      </c>
      <c r="I48" s="24">
        <f t="shared" si="2"/>
        <v>4.899221712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21" t="s">
        <v>19</v>
      </c>
      <c r="B49" s="50" t="s">
        <v>143</v>
      </c>
      <c r="C49" s="14" t="s">
        <v>25</v>
      </c>
      <c r="D49" s="38" t="s">
        <v>104</v>
      </c>
      <c r="E49" s="25">
        <v>32.6839</v>
      </c>
      <c r="F49" s="43">
        <v>3.0076</v>
      </c>
      <c r="G49" s="44">
        <f t="shared" si="1"/>
        <v>35.6915</v>
      </c>
      <c r="H49" s="44">
        <v>32.8301</v>
      </c>
      <c r="I49" s="24">
        <f t="shared" si="2"/>
        <v>4.861018752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21" t="s">
        <v>19</v>
      </c>
      <c r="B50" s="50" t="s">
        <v>144</v>
      </c>
      <c r="C50" s="14" t="s">
        <v>25</v>
      </c>
      <c r="D50" s="38" t="s">
        <v>104</v>
      </c>
      <c r="E50" s="52">
        <v>24.4845</v>
      </c>
      <c r="F50" s="53">
        <v>3.0014</v>
      </c>
      <c r="G50" s="44">
        <f t="shared" si="1"/>
        <v>27.4859</v>
      </c>
      <c r="H50" s="53">
        <v>24.6334</v>
      </c>
      <c r="I50" s="24">
        <f t="shared" si="2"/>
        <v>4.961018192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21" t="s">
        <v>19</v>
      </c>
      <c r="B51" s="50" t="s">
        <v>145</v>
      </c>
      <c r="C51" s="14" t="s">
        <v>25</v>
      </c>
      <c r="D51" s="38" t="s">
        <v>104</v>
      </c>
      <c r="E51" s="25">
        <v>27.5967</v>
      </c>
      <c r="F51" s="44">
        <v>3.0012</v>
      </c>
      <c r="G51" s="44">
        <f t="shared" si="1"/>
        <v>30.5979</v>
      </c>
      <c r="H51" s="44">
        <v>27.7382</v>
      </c>
      <c r="I51" s="24">
        <f t="shared" si="2"/>
        <v>4.714780754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21" t="s">
        <v>19</v>
      </c>
      <c r="B52" s="50" t="s">
        <v>146</v>
      </c>
      <c r="C52" s="14" t="s">
        <v>34</v>
      </c>
      <c r="D52" s="38" t="s">
        <v>104</v>
      </c>
      <c r="E52" s="25">
        <v>32.8964</v>
      </c>
      <c r="F52" s="44">
        <v>3.0073</v>
      </c>
      <c r="G52" s="44">
        <f t="shared" si="1"/>
        <v>35.9037</v>
      </c>
      <c r="H52" s="44">
        <v>33.0335</v>
      </c>
      <c r="I52" s="24">
        <f t="shared" si="2"/>
        <v>4.55890666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21" t="s">
        <v>19</v>
      </c>
      <c r="B53" s="50" t="s">
        <v>147</v>
      </c>
      <c r="C53" s="14" t="s">
        <v>34</v>
      </c>
      <c r="D53" s="38" t="s">
        <v>104</v>
      </c>
      <c r="E53" s="25">
        <v>31.787</v>
      </c>
      <c r="F53" s="44">
        <v>3.0048</v>
      </c>
      <c r="G53" s="44">
        <f t="shared" si="1"/>
        <v>34.7918</v>
      </c>
      <c r="H53" s="44">
        <v>31.9195</v>
      </c>
      <c r="I53" s="24">
        <f t="shared" si="2"/>
        <v>4.409611289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21" t="s">
        <v>19</v>
      </c>
      <c r="B54" s="50" t="s">
        <v>148</v>
      </c>
      <c r="C54" s="14" t="s">
        <v>34</v>
      </c>
      <c r="D54" s="38" t="s">
        <v>104</v>
      </c>
      <c r="E54" s="25">
        <v>17.0859</v>
      </c>
      <c r="F54" s="44">
        <v>3.0066</v>
      </c>
      <c r="G54" s="44">
        <f t="shared" si="1"/>
        <v>20.0925</v>
      </c>
      <c r="H54" s="44">
        <v>17.226</v>
      </c>
      <c r="I54" s="24">
        <f t="shared" si="2"/>
        <v>4.659748553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21" t="s">
        <v>19</v>
      </c>
      <c r="B55" s="50" t="s">
        <v>149</v>
      </c>
      <c r="C55" s="14" t="s">
        <v>40</v>
      </c>
      <c r="D55" s="38" t="s">
        <v>104</v>
      </c>
      <c r="E55" s="25">
        <v>60.4316</v>
      </c>
      <c r="F55" s="44">
        <v>3.0054</v>
      </c>
      <c r="G55" s="44">
        <f t="shared" si="1"/>
        <v>63.437</v>
      </c>
      <c r="H55" s="44">
        <v>60.5633</v>
      </c>
      <c r="I55" s="24">
        <f t="shared" si="2"/>
        <v>4.382112198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21" t="s">
        <v>19</v>
      </c>
      <c r="B56" s="50" t="s">
        <v>150</v>
      </c>
      <c r="C56" s="14" t="s">
        <v>40</v>
      </c>
      <c r="D56" s="38" t="s">
        <v>104</v>
      </c>
      <c r="E56" s="25">
        <v>33.3087</v>
      </c>
      <c r="F56" s="43">
        <v>3.0042</v>
      </c>
      <c r="G56" s="44">
        <f t="shared" si="1"/>
        <v>36.3129</v>
      </c>
      <c r="H56" s="44">
        <v>33.4489</v>
      </c>
      <c r="I56" s="24">
        <f t="shared" si="2"/>
        <v>4.666799814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34" t="s">
        <v>19</v>
      </c>
      <c r="B57" s="51" t="s">
        <v>151</v>
      </c>
      <c r="C57" s="14" t="s">
        <v>40</v>
      </c>
      <c r="D57" s="45" t="s">
        <v>104</v>
      </c>
      <c r="E57" s="36">
        <v>19.4372</v>
      </c>
      <c r="F57" s="48">
        <v>3.0114</v>
      </c>
      <c r="G57" s="48">
        <f t="shared" si="1"/>
        <v>22.4486</v>
      </c>
      <c r="H57" s="48">
        <v>19.5861</v>
      </c>
      <c r="I57" s="29">
        <f t="shared" si="2"/>
        <v>4.944544066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54"/>
      <c r="B58" s="55"/>
      <c r="C58" s="38"/>
      <c r="D58" s="56"/>
      <c r="E58" s="56"/>
      <c r="F58" s="54"/>
      <c r="G58" s="56"/>
      <c r="H58" s="57"/>
      <c r="I58" s="49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54"/>
      <c r="B59" s="55"/>
      <c r="C59" s="38"/>
      <c r="D59" s="56"/>
      <c r="E59" s="56"/>
      <c r="F59" s="54"/>
      <c r="G59" s="56"/>
      <c r="H59" s="57"/>
      <c r="I59" s="49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49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49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49"/>
      <c r="B62" s="49"/>
      <c r="C62" s="38"/>
      <c r="D62" s="49"/>
      <c r="E62" s="49"/>
      <c r="F62" s="49"/>
      <c r="G62" s="49"/>
      <c r="H62" s="49"/>
      <c r="I62" s="49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</worksheet>
</file>